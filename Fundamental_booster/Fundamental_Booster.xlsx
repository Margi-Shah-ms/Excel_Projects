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7d9897ff79158595/Desktop/"/>
    </mc:Choice>
  </mc:AlternateContent>
  <xr:revisionPtr revIDLastSave="731" documentId="8_{851C89D7-41AD-4A47-BDA8-4DE0F97DFACF}" xr6:coauthVersionLast="47" xr6:coauthVersionMax="47" xr10:uidLastSave="{7E50A2DB-206E-4429-8BCA-E26468482192}"/>
  <bookViews>
    <workbookView xWindow="-108" yWindow="-108" windowWidth="23256" windowHeight="12456" xr2:uid="{C7659B5F-D3F0-4DC1-9822-5DE054D767A8}"/>
  </bookViews>
  <sheets>
    <sheet name="Sheet1" sheetId="1" r:id="rId1"/>
    <sheet name="Students Grade" sheetId="2" r:id="rId2"/>
    <sheet name="Sales Data" sheetId="3" r:id="rId3"/>
    <sheet name="Employee Data" sheetId="4" r:id="rId4"/>
  </sheets>
  <definedNames>
    <definedName name="_xlnm._FilterDatabase" localSheetId="1" hidden="1">'Students Grade'!$A$1:$L$21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4" l="1"/>
  <c r="L38" i="3"/>
  <c r="A48" i="2" a="1"/>
  <c r="J32" i="2"/>
  <c r="K33" i="2" s="1"/>
  <c r="A41" i="2"/>
  <c r="A38" i="2"/>
  <c r="A44" i="2"/>
  <c r="C28" i="2"/>
  <c r="B33" i="2" a="1"/>
  <c r="K34" i="3"/>
  <c r="L28" i="3"/>
  <c r="B25" i="4" a="1"/>
  <c r="G19" i="4"/>
  <c r="H29" i="2"/>
  <c r="L22" i="3" a="1"/>
  <c r="L12" i="3"/>
  <c r="L17" i="3"/>
  <c r="L5" i="2"/>
  <c r="O3" i="2"/>
  <c r="O4" i="2"/>
  <c r="O5" i="2"/>
  <c r="O6" i="2"/>
  <c r="O7" i="2"/>
  <c r="O8" i="2"/>
  <c r="O9" i="2"/>
  <c r="O10" i="2"/>
  <c r="O11" i="2"/>
  <c r="O12" i="2"/>
  <c r="O13" i="2"/>
  <c r="O14" i="2"/>
  <c r="O15" i="2"/>
  <c r="O16" i="2"/>
  <c r="O17" i="2"/>
  <c r="O18" i="2"/>
  <c r="O19" i="2"/>
  <c r="O20" i="2"/>
  <c r="O21" i="2"/>
  <c r="O2" i="2"/>
  <c r="N3" i="2"/>
  <c r="N4" i="2"/>
  <c r="N5" i="2"/>
  <c r="N6" i="2"/>
  <c r="N7" i="2"/>
  <c r="N8" i="2"/>
  <c r="N9" i="2"/>
  <c r="N10" i="2"/>
  <c r="N11" i="2"/>
  <c r="N12" i="2"/>
  <c r="N13" i="2"/>
  <c r="N14" i="2"/>
  <c r="N15" i="2"/>
  <c r="N16" i="2"/>
  <c r="N17" i="2"/>
  <c r="N18" i="2"/>
  <c r="N19" i="2"/>
  <c r="N20" i="2"/>
  <c r="N21" i="2"/>
  <c r="N2" i="2"/>
  <c r="M2" i="2"/>
  <c r="H6" i="4"/>
  <c r="D31" i="3"/>
  <c r="E31" i="3"/>
  <c r="F31" i="3"/>
  <c r="C31" i="3"/>
  <c r="L5" i="3"/>
  <c r="G2" i="2"/>
  <c r="G3" i="2"/>
  <c r="G4" i="2"/>
  <c r="G5" i="2"/>
  <c r="G6" i="2"/>
  <c r="G7" i="2"/>
  <c r="G8" i="2"/>
  <c r="G9" i="2"/>
  <c r="G10" i="2"/>
  <c r="G11" i="2"/>
  <c r="G12" i="2"/>
  <c r="G13" i="2"/>
  <c r="G14" i="2"/>
  <c r="G15" i="2"/>
  <c r="G16" i="2"/>
  <c r="G17" i="2"/>
  <c r="G18" i="2"/>
  <c r="G19" i="2"/>
  <c r="G20" i="2"/>
  <c r="G21" i="2"/>
  <c r="I2" i="2"/>
  <c r="I3" i="2"/>
  <c r="C26" i="3"/>
  <c r="C27" i="3"/>
  <c r="C28" i="3"/>
  <c r="C29" i="3"/>
  <c r="C30" i="3"/>
  <c r="D27" i="3"/>
  <c r="D28" i="3"/>
  <c r="D29" i="3"/>
  <c r="D30" i="3"/>
  <c r="D26" i="3"/>
  <c r="E27" i="3"/>
  <c r="E28" i="3"/>
  <c r="E29" i="3"/>
  <c r="E30" i="3"/>
  <c r="E26" i="3"/>
  <c r="F27" i="3"/>
  <c r="F28" i="3"/>
  <c r="F29" i="3"/>
  <c r="F30" i="3"/>
  <c r="F26" i="3"/>
  <c r="H2" i="3"/>
  <c r="H3" i="3"/>
  <c r="G2" i="3"/>
  <c r="J2" i="2"/>
  <c r="H4" i="3"/>
  <c r="H5" i="3"/>
  <c r="H6" i="3"/>
  <c r="H7" i="3"/>
  <c r="H8" i="3"/>
  <c r="H9" i="3"/>
  <c r="H10" i="3"/>
  <c r="H11" i="3"/>
  <c r="H12" i="3"/>
  <c r="H13" i="3"/>
  <c r="H14" i="3"/>
  <c r="H15" i="3"/>
  <c r="H16" i="3"/>
  <c r="H17" i="3"/>
  <c r="H18" i="3"/>
  <c r="H19" i="3"/>
  <c r="H20" i="3"/>
  <c r="H21" i="3"/>
  <c r="J3" i="2"/>
  <c r="J4" i="2"/>
  <c r="J5" i="2"/>
  <c r="J6" i="2"/>
  <c r="J7" i="2"/>
  <c r="J8" i="2"/>
  <c r="J9" i="2"/>
  <c r="J10" i="2"/>
  <c r="J11" i="2"/>
  <c r="J12" i="2"/>
  <c r="J13" i="2"/>
  <c r="J14" i="2"/>
  <c r="J15" i="2"/>
  <c r="J16" i="2"/>
  <c r="J17" i="2"/>
  <c r="J18" i="2"/>
  <c r="J19" i="2"/>
  <c r="J20" i="2"/>
  <c r="J21" i="2"/>
  <c r="G3" i="3"/>
  <c r="G4" i="3"/>
  <c r="G5" i="3"/>
  <c r="G6" i="3"/>
  <c r="G7" i="3"/>
  <c r="G8" i="3"/>
  <c r="G9" i="3"/>
  <c r="G10" i="3"/>
  <c r="G11" i="3"/>
  <c r="G12" i="3"/>
  <c r="G13" i="3"/>
  <c r="G14" i="3"/>
  <c r="G15" i="3"/>
  <c r="G16" i="3"/>
  <c r="G17" i="3"/>
  <c r="G18" i="3"/>
  <c r="G19" i="3"/>
  <c r="G20" i="3"/>
  <c r="G21" i="3"/>
  <c r="K2" i="2" l="1"/>
  <c r="H2" i="2"/>
  <c r="K3" i="2"/>
  <c r="H3" i="2"/>
  <c r="I4" i="2"/>
  <c r="K4" i="2"/>
  <c r="H4" i="2"/>
  <c r="I5" i="2"/>
  <c r="K5" i="2"/>
  <c r="H5" i="2"/>
  <c r="I6" i="2"/>
  <c r="K6" i="2"/>
  <c r="H6" i="2"/>
  <c r="I7" i="2"/>
  <c r="K7" i="2"/>
  <c r="H7" i="2"/>
  <c r="I8" i="2"/>
  <c r="H8" i="2"/>
  <c r="K8" i="2"/>
  <c r="I9" i="2"/>
  <c r="K9" i="2"/>
  <c r="H9" i="2"/>
  <c r="I10" i="2"/>
  <c r="H10" i="2"/>
  <c r="K10" i="2"/>
  <c r="I11" i="2"/>
  <c r="K11" i="2"/>
  <c r="H11" i="2"/>
  <c r="I12" i="2"/>
  <c r="H12" i="2"/>
  <c r="K12" i="2"/>
  <c r="I13" i="2"/>
  <c r="H13" i="2"/>
  <c r="K13" i="2"/>
  <c r="H14" i="2"/>
  <c r="I14" i="2"/>
  <c r="K14" i="2"/>
  <c r="I15" i="2"/>
  <c r="K15" i="2"/>
  <c r="H15" i="2"/>
  <c r="K16" i="2"/>
  <c r="I16" i="2"/>
  <c r="H16" i="2"/>
  <c r="I17" i="2"/>
  <c r="H17" i="2"/>
  <c r="K17" i="2"/>
  <c r="H18" i="2"/>
  <c r="I18" i="2"/>
  <c r="K18" i="2"/>
  <c r="H19" i="2"/>
  <c r="I19" i="2"/>
  <c r="K19" i="2"/>
  <c r="H20" i="2"/>
  <c r="I20" i="2"/>
  <c r="K20" i="2"/>
  <c r="H21" i="2"/>
  <c r="I21" i="2"/>
  <c r="K21" i="2"/>
  <c r="B24" i="2" l="1"/>
  <c r="L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<sst xmlns="http://schemas.openxmlformats.org/spreadsheetml/2006/main" count="244" uniqueCount="164">
  <si>
    <t>PR. 1 Fundamental Booster</t>
  </si>
  <si>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</si>
  <si>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</si>
  <si>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</si>
  <si>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</si>
  <si>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</si>
  <si>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</si>
  <si>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</si>
  <si>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</si>
  <si>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</si>
  <si>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</si>
  <si>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</si>
  <si>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</si>
  <si>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</si>
  <si>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</si>
  <si>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</si>
  <si>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</si>
  <si>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</si>
  <si>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</si>
  <si>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</si>
  <si>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</si>
  <si>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</si>
  <si>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</si>
  <si>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</si>
  <si>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</si>
  <si>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</si>
  <si>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</si>
  <si>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</si>
  <si>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</si>
  <si>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</si>
  <si>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</si>
  <si>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</si>
  <si>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</si>
  <si>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</si>
  <si>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</si>
  <si>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</si>
  <si>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</si>
  <si>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</si>
  <si>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</si>
  <si>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</si>
  <si>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</si>
  <si>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</si>
  <si>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</si>
  <si>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</si>
  <si>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</si>
  <si>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</si>
  <si>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</si>
  <si>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</si>
  <si>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</si>
  <si>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</si>
  <si>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</si>
  <si>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</si>
  <si>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</si>
  <si>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</si>
  <si>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</si>
  <si>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</si>
  <si>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</si>
  <si>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</si>
  <si>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</si>
  <si>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</si>
  <si>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</si>
  <si>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</si>
  <si>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</si>
  <si>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</si>
  <si>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</si>
  <si>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</si>
  <si>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</si>
  <si>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</si>
  <si>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</si>
  <si>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</si>
  <si>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</si>
  <si>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</si>
  <si>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</si>
  <si>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</si>
  <si>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</si>
  <si>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</si>
  <si>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</si>
  <si>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</si>
  <si>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</si>
  <si>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</si>
  <si>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</si>
  <si>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</si>
  <si>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</si>
  <si>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</si>
  <si>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</si>
  <si>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</si>
  <si>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</si>
  <si>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</si>
  <si>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</si>
  <si>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</si>
  <si>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</si>
  <si>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</si>
  <si>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</si>
  <si>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</si>
  <si>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</si>
  <si>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</si>
  <si>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</si>
  <si>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</si>
  <si>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</si>
  <si>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</si>
  <si>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</si>
  <si>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</si>
  <si>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</si>
  <si>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</si>
  <si>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</si>
  <si>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</si>
  <si>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</si>
  <si>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</si>
  <si>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</si>
  <si>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</si>
  <si>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</si>
  <si>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</si>
  <si>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</si>
  <si>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</si>
  <si>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</si>
  <si>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</si>
  <si>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</si>
  <si>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</si>
  <si>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</si>
  <si>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</si>
  <si>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</si>
  <si>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</si>
  <si>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</si>
  <si>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</si>
  <si>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</si>
  <si>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</si>
  <si>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</si>
  <si>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</si>
  <si>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</si>
  <si>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Discounts</t>
  </si>
  <si>
    <t>Score&gt;80</t>
  </si>
  <si>
    <t>eligible_discount</t>
  </si>
  <si>
    <t>sum total sales for a specific region and product</t>
  </si>
  <si>
    <t>product</t>
  </si>
  <si>
    <t>Score&gt;60</t>
  </si>
  <si>
    <t>average</t>
  </si>
  <si>
    <t>Math score &gt;50</t>
  </si>
  <si>
    <t>Calculate the average score for students who scored above 60</t>
  </si>
  <si>
    <t>Grades</t>
  </si>
  <si>
    <t>TOTAL</t>
  </si>
  <si>
    <t>Result</t>
  </si>
  <si>
    <t>VLOOKUP</t>
  </si>
  <si>
    <t>Fetch student names based on ID from a separate dataset</t>
  </si>
  <si>
    <t>INDEX and MATCH</t>
  </si>
  <si>
    <t>Find sales values for a specific salesperson in a specific month</t>
  </si>
  <si>
    <t>Total</t>
  </si>
  <si>
    <t>firstname</t>
  </si>
  <si>
    <t>uppercase</t>
  </si>
  <si>
    <t>lowrcase</t>
  </si>
  <si>
    <t>XLOOKUP</t>
  </si>
  <si>
    <t>XMATCH</t>
  </si>
  <si>
    <t>INDIRECT FUNCTION</t>
  </si>
  <si>
    <t>retrieve prodcut prices based on product codes</t>
  </si>
  <si>
    <t>Dynamically reference a cell range using INDIRECT</t>
  </si>
  <si>
    <t>E3</t>
  </si>
  <si>
    <t>OFFSET FUNCTION</t>
  </si>
  <si>
    <t>Find the difference in days b/w two dates.</t>
  </si>
  <si>
    <t>DATE AND TIME FUNCTIONS</t>
  </si>
  <si>
    <t>B5</t>
  </si>
  <si>
    <t>ROUND()</t>
  </si>
  <si>
    <t>CEILING()</t>
  </si>
  <si>
    <t>FLOOR()</t>
  </si>
  <si>
    <r>
      <t xml:space="preserve">Topics:
</t>
    </r>
    <r>
      <rPr>
        <sz val="11"/>
        <color theme="1"/>
        <rFont val="Calibri"/>
        <family val="2"/>
        <scheme val="minor"/>
      </rPr>
      <t>-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theme="1"/>
        <rFont val="Calibri"/>
        <family val="2"/>
        <scheme val="minor"/>
      </rPr>
      <t xml:space="preserve">
</t>
    </r>
    <r>
      <rPr>
        <sz val="11"/>
        <color theme="1"/>
        <rFont val="Calibri"/>
        <family val="2"/>
        <scheme val="minor"/>
      </rPr>
      <t xml:space="preserve">
</t>
    </r>
    <r>
      <rPr>
        <b/>
        <sz val="11"/>
        <color rgb="FF38761D"/>
        <rFont val="Calibri"/>
        <family val="2"/>
        <scheme val="minor"/>
      </rPr>
      <t>Main Tasks:</t>
    </r>
    <r>
      <rPr>
        <sz val="11"/>
        <color rgb="FF38761D"/>
        <rFont val="Calibri"/>
        <family val="2"/>
        <scheme val="minor"/>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</si>
  <si>
    <t>Format and analyze date of joining in Employee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</si>
</sst>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_ [$₹-4009]\ * #,##0.00_ ;_ [$₹-4009]\ * \-#,##0.00_ ;_ [$₹-4009]\ * &quot;-&quot;??_ ;_ @_ "/>
  </numFmts>
  <fonts count="4" x14ac:knownFonts="1">
    <font>
      <sz val="11"/>
      <color theme="1"/>
      <name val="Calibri"/>
      <family val="2"/>
      <scheme val="minor"/>
    </font>
    <font>
      <b/>
      <sz val="11"/>
      <color theme="1"/>
      <name val="Calibri"/>
      <family val="2"/>
      <scheme val="minor"/>
    </font>
    <font>
      <b/>
      <sz val="11"/>
      <color rgb="FF38761D"/>
      <name val="Calibri"/>
      <family val="2"/>
      <scheme val="minor"/>
    </font>
    <font>
      <sz val="11"/>
      <color rgb="FF38761D"/>
      <name val="Calibri"/>
      <family val="2"/>
      <scheme val="minor"/>
    </font>
  </fonts>
  <fills count="4">
    <fill>
      <patternFill patternType="none"/>
    </fill>
    <fill>
      <patternFill patternType="gray125"/>
    </fill>
    <fill>
      <patternFill patternType="solid">
        <fgColor rgb="FFFFF2CC"/>
        <bgColor indexed="64"/>
      </patternFill>
    </fill>
    <fill>
      <patternFill patternType="solid">
        <fgColor theme="5" tint="0.39997558519241921"/>
        <bgColor indexed="64"/>
      </patternFill>
    </fill>
  </fills>
  <borders count="2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style="medium">
        <color rgb="FF000000"/>
      </left>
      <right style="medium">
        <color rgb="FF000000"/>
      </right>
      <top/>
      <bottom style="medium">
        <color indexed="64"/>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top/>
      <bottom style="medium">
        <color rgb="FF000000"/>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CCCCCC"/>
      </left>
      <right style="medium">
        <color rgb="FF000000"/>
      </right>
      <top style="medium">
        <color rgb="FF000000"/>
      </top>
      <bottom style="medium">
        <color indexed="64"/>
      </bottom>
      <diagonal/>
    </border>
    <border>
      <left style="medium">
        <color rgb="FFCCCCCC"/>
      </left>
      <right style="medium">
        <color rgb="FF000000"/>
      </right>
      <top/>
      <bottom style="medium">
        <color indexed="64"/>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CCCCCC"/>
      </left>
      <right/>
      <top/>
      <bottom style="medium">
        <color indexed="64"/>
      </bottom>
      <diagonal/>
    </border>
    <border>
      <left/>
      <right/>
      <top/>
      <bottom style="medium">
        <color indexed="64"/>
      </bottom>
      <diagonal/>
    </border>
    <border>
      <left/>
      <right style="medium">
        <color rgb="FF000000"/>
      </right>
      <top/>
      <bottom style="medium">
        <color indexed="64"/>
      </bottom>
      <diagonal/>
    </border>
    <border>
      <left style="medium">
        <color rgb="FFCCCCCC"/>
      </left>
      <right style="medium">
        <color rgb="FF000000"/>
      </right>
      <top/>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center" vertical="center" wrapText="1"/>
    </xf>
    <xf numFmtId="0" fontId="1" fillId="0" borderId="2" xfId="0" applyFont="1" applyBorder="1" applyAlignment="1">
      <alignment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164" fontId="0" fillId="0" borderId="4" xfId="0" applyNumberFormat="1" applyBorder="1" applyAlignment="1">
      <alignment horizontal="center" vertical="center"/>
    </xf>
    <xf numFmtId="165" fontId="0" fillId="0" borderId="4" xfId="0" applyNumberFormat="1" applyBorder="1" applyAlignment="1">
      <alignment horizontal="center" vertical="center"/>
    </xf>
    <xf numFmtId="164" fontId="0" fillId="0" borderId="5" xfId="0" applyNumberFormat="1" applyBorder="1" applyAlignment="1">
      <alignment horizontal="center" vertical="center" wrapText="1"/>
    </xf>
    <xf numFmtId="0" fontId="1" fillId="2" borderId="6" xfId="0" applyFont="1" applyFill="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164" fontId="0" fillId="0" borderId="9" xfId="0" applyNumberFormat="1" applyBorder="1" applyAlignment="1">
      <alignment horizontal="center" vertical="center" wrapText="1"/>
    </xf>
    <xf numFmtId="0" fontId="0" fillId="0" borderId="10" xfId="0" applyBorder="1" applyAlignment="1">
      <alignment horizontal="center"/>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1" fontId="0" fillId="0" borderId="4" xfId="0" applyNumberFormat="1" applyBorder="1" applyAlignment="1">
      <alignment horizontal="center" vertical="center"/>
    </xf>
    <xf numFmtId="1" fontId="0" fillId="0" borderId="0" xfId="0" applyNumberFormat="1"/>
    <xf numFmtId="1" fontId="0" fillId="0" borderId="0" xfId="0" applyNumberFormat="1" applyAlignment="1">
      <alignment horizontal="center" vertical="center"/>
    </xf>
    <xf numFmtId="165" fontId="0" fillId="0" borderId="0" xfId="0" applyNumberFormat="1"/>
    <xf numFmtId="165" fontId="0" fillId="0" borderId="8" xfId="0" applyNumberFormat="1" applyBorder="1" applyAlignment="1">
      <alignment horizontal="center" vertical="top" wrapText="1"/>
    </xf>
    <xf numFmtId="165" fontId="0" fillId="0" borderId="4" xfId="0" applyNumberFormat="1" applyBorder="1" applyAlignment="1">
      <alignment horizontal="center" vertical="top" wrapText="1"/>
    </xf>
    <xf numFmtId="0" fontId="0" fillId="0" borderId="23" xfId="0" applyBorder="1" applyAlignment="1">
      <alignment horizontal="center" vertical="center" wrapText="1"/>
    </xf>
    <xf numFmtId="0" fontId="1" fillId="2" borderId="23" xfId="0" applyFont="1" applyFill="1" applyBorder="1" applyAlignment="1">
      <alignment horizontal="center" vertical="center"/>
    </xf>
    <xf numFmtId="14" fontId="0" fillId="0" borderId="0" xfId="0" applyNumberFormat="1"/>
    <xf numFmtId="3" fontId="0" fillId="0" borderId="0" xfId="0" applyNumberFormat="1"/>
    <xf numFmtId="164" fontId="0" fillId="0" borderId="0" xfId="0" applyNumberFormat="1"/>
    <xf numFmtId="0" fontId="1" fillId="2" borderId="14"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20"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1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0" fillId="3"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91AB4-F7B6-42EF-AC88-678A9A51DE4E}">
  <dimension ref="A1:A56"/>
  <sheetViews>
    <sheetView tabSelected="1" topLeftCell="A51" zoomScale="109" workbookViewId="0">
      <selection activeCell="B64" sqref="B64"/>
    </sheetView>
  </sheetViews>
  <sheetFormatPr defaultRowHeight="14.4" x14ac:dyDescent="0.3"/>
  <cols>
    <col min="1" max="1" width="50.77734375" customWidth="1"/>
  </cols>
  <sheetData>
    <row r="1" spans="1:1" ht="15" thickBot="1" x14ac:dyDescent="0.35">
      <c r="A1" s="1" t="s">
        <v>0</v>
      </c>
    </row>
    <row r="2" spans="1:1" ht="256.2" customHeight="1" thickBot="1" x14ac:dyDescent="0.35">
      <c r="A2" s="2" t="s">
        <v>162</v>
      </c>
    </row>
    <row r="4" spans="1:1" ht="15" thickBot="1" x14ac:dyDescent="0.35"/>
    <row r="5" spans="1:1" ht="15" thickBot="1" x14ac:dyDescent="0.35">
      <c r="A5" s="1" t="s">
        <v>1</v>
      </c>
    </row>
    <row r="6" spans="1:1" ht="29.4" thickBot="1" x14ac:dyDescent="0.35">
      <c r="A6" s="2" t="s">
        <v>2</v>
      </c>
    </row>
    <row r="7" spans="1:1" ht="29.4" thickBot="1" x14ac:dyDescent="0.35">
      <c r="A7" s="3" t="s">
        <v>3</v>
      </c>
    </row>
    <row r="8" spans="1:1" ht="29.4" thickBot="1" x14ac:dyDescent="0.35">
      <c r="A8" s="3" t="s">
        <v>4</v>
      </c>
    </row>
    <row r="9" spans="1:1" ht="15" thickBot="1" x14ac:dyDescent="0.35">
      <c r="A9" s="3"/>
    </row>
    <row r="10" spans="1:1" ht="15" thickBot="1" x14ac:dyDescent="0.35">
      <c r="A10" s="2" t="s">
        <v>5</v>
      </c>
    </row>
    <row r="11" spans="1:1" ht="15" thickBot="1" x14ac:dyDescent="0.35">
      <c r="A11" s="3" t="s">
        <v>6</v>
      </c>
    </row>
    <row r="12" spans="1:1" ht="15" thickBot="1" x14ac:dyDescent="0.35">
      <c r="A12" s="3" t="s">
        <v>7</v>
      </c>
    </row>
    <row r="13" spans="1:1" ht="15" thickBot="1" x14ac:dyDescent="0.35">
      <c r="A13" s="3"/>
    </row>
    <row r="14" spans="1:1" ht="15" thickBot="1" x14ac:dyDescent="0.35">
      <c r="A14" s="2" t="s">
        <v>8</v>
      </c>
    </row>
    <row r="15" spans="1:1" ht="29.4" thickBot="1" x14ac:dyDescent="0.35">
      <c r="A15" s="3" t="s">
        <v>9</v>
      </c>
    </row>
    <row r="16" spans="1:1" ht="29.4" thickBot="1" x14ac:dyDescent="0.35">
      <c r="A16" s="3" t="s">
        <v>10</v>
      </c>
    </row>
    <row r="17" spans="1:1" ht="15" thickBot="1" x14ac:dyDescent="0.35">
      <c r="A17" s="3"/>
    </row>
    <row r="18" spans="1:1" ht="15" thickBot="1" x14ac:dyDescent="0.35">
      <c r="A18" s="2" t="s">
        <v>11</v>
      </c>
    </row>
    <row r="19" spans="1:1" ht="29.4" thickBot="1" x14ac:dyDescent="0.35">
      <c r="A19" s="3" t="s">
        <v>12</v>
      </c>
    </row>
    <row r="20" spans="1:1" ht="15" thickBot="1" x14ac:dyDescent="0.35">
      <c r="A20" s="3" t="s">
        <v>13</v>
      </c>
    </row>
    <row r="21" spans="1:1" ht="29.4" thickBot="1" x14ac:dyDescent="0.35">
      <c r="A21" s="3" t="s">
        <v>14</v>
      </c>
    </row>
    <row r="22" spans="1:1" ht="15" thickBot="1" x14ac:dyDescent="0.35">
      <c r="A22" s="3"/>
    </row>
    <row r="23" spans="1:1" ht="15" thickBot="1" x14ac:dyDescent="0.35">
      <c r="A23" s="2" t="s">
        <v>15</v>
      </c>
    </row>
    <row r="24" spans="1:1" ht="15" thickBot="1" x14ac:dyDescent="0.35">
      <c r="A24" s="3" t="s">
        <v>16</v>
      </c>
    </row>
    <row r="25" spans="1:1" ht="15" thickBot="1" x14ac:dyDescent="0.35">
      <c r="A25" s="3" t="s">
        <v>17</v>
      </c>
    </row>
    <row r="26" spans="1:1" ht="15" thickBot="1" x14ac:dyDescent="0.35">
      <c r="A26" s="3"/>
    </row>
    <row r="27" spans="1:1" ht="15" thickBot="1" x14ac:dyDescent="0.35">
      <c r="A27" s="2" t="s">
        <v>18</v>
      </c>
    </row>
    <row r="28" spans="1:1" ht="29.4" thickBot="1" x14ac:dyDescent="0.35">
      <c r="A28" s="3" t="s">
        <v>19</v>
      </c>
    </row>
    <row r="29" spans="1:1" ht="29.4" thickBot="1" x14ac:dyDescent="0.35">
      <c r="A29" s="3" t="s">
        <v>20</v>
      </c>
    </row>
    <row r="30" spans="1:1" ht="15" thickBot="1" x14ac:dyDescent="0.35">
      <c r="A30" s="3"/>
    </row>
    <row r="31" spans="1:1" ht="15" thickBot="1" x14ac:dyDescent="0.35">
      <c r="A31" s="2" t="s">
        <v>21</v>
      </c>
    </row>
    <row r="32" spans="1:1" ht="15" thickBot="1" x14ac:dyDescent="0.35">
      <c r="A32" s="3" t="s">
        <v>22</v>
      </c>
    </row>
    <row r="33" spans="1:1" ht="29.4" thickBot="1" x14ac:dyDescent="0.35">
      <c r="A33" s="3" t="s">
        <v>23</v>
      </c>
    </row>
    <row r="34" spans="1:1" ht="15" thickBot="1" x14ac:dyDescent="0.35">
      <c r="A34" s="3"/>
    </row>
    <row r="35" spans="1:1" ht="15" thickBot="1" x14ac:dyDescent="0.35">
      <c r="A35" s="2" t="s">
        <v>24</v>
      </c>
    </row>
    <row r="36" spans="1:1" ht="29.4" thickBot="1" x14ac:dyDescent="0.35">
      <c r="A36" s="3" t="s">
        <v>25</v>
      </c>
    </row>
    <row r="37" spans="1:1" ht="15" thickBot="1" x14ac:dyDescent="0.35">
      <c r="A37" s="3" t="s">
        <v>26</v>
      </c>
    </row>
    <row r="38" spans="1:1" ht="15" thickBot="1" x14ac:dyDescent="0.35">
      <c r="A38" s="3"/>
    </row>
    <row r="39" spans="1:1" ht="15" thickBot="1" x14ac:dyDescent="0.35">
      <c r="A39" s="2" t="s">
        <v>27</v>
      </c>
    </row>
    <row r="40" spans="1:1" ht="15" thickBot="1" x14ac:dyDescent="0.35">
      <c r="A40" s="3" t="s">
        <v>28</v>
      </c>
    </row>
    <row r="41" spans="1:1" ht="15" thickBot="1" x14ac:dyDescent="0.35">
      <c r="A41" s="3"/>
    </row>
    <row r="42" spans="1:1" ht="15" thickBot="1" x14ac:dyDescent="0.35">
      <c r="A42" s="2" t="s">
        <v>29</v>
      </c>
    </row>
    <row r="43" spans="1:1" ht="15" thickBot="1" x14ac:dyDescent="0.35">
      <c r="A43" s="3" t="s">
        <v>30</v>
      </c>
    </row>
    <row r="44" spans="1:1" ht="15" thickBot="1" x14ac:dyDescent="0.35">
      <c r="A44" s="3"/>
    </row>
    <row r="45" spans="1:1" ht="15" thickBot="1" x14ac:dyDescent="0.35">
      <c r="A45" s="2" t="s">
        <v>31</v>
      </c>
    </row>
    <row r="46" spans="1:1" ht="15" thickBot="1" x14ac:dyDescent="0.35">
      <c r="A46" s="3" t="s">
        <v>32</v>
      </c>
    </row>
    <row r="47" spans="1:1" ht="15" thickBot="1" x14ac:dyDescent="0.35">
      <c r="A47" s="3"/>
    </row>
    <row r="48" spans="1:1" ht="15" thickBot="1" x14ac:dyDescent="0.35">
      <c r="A48" s="2" t="s">
        <v>33</v>
      </c>
    </row>
    <row r="49" spans="1:1" ht="15" thickBot="1" x14ac:dyDescent="0.35">
      <c r="A49" s="3" t="s">
        <v>34</v>
      </c>
    </row>
    <row r="50" spans="1:1" ht="15" thickBot="1" x14ac:dyDescent="0.35">
      <c r="A50" s="3" t="s">
        <v>35</v>
      </c>
    </row>
    <row r="51" spans="1:1" ht="15" thickBot="1" x14ac:dyDescent="0.35">
      <c r="A51" s="3"/>
    </row>
    <row r="52" spans="1:1" ht="15" thickBot="1" x14ac:dyDescent="0.35">
      <c r="A52" s="2" t="s">
        <v>36</v>
      </c>
    </row>
    <row r="53" spans="1:1" ht="29.4" thickBot="1" x14ac:dyDescent="0.35">
      <c r="A53" s="3" t="s">
        <v>37</v>
      </c>
    </row>
    <row r="54" spans="1:1" ht="15" thickBot="1" x14ac:dyDescent="0.35">
      <c r="A54" s="3"/>
    </row>
    <row r="55" spans="1:1" ht="15" thickBot="1" x14ac:dyDescent="0.35">
      <c r="A55" s="2" t="s">
        <v>38</v>
      </c>
    </row>
    <row r="56" spans="1:1" ht="15" thickBot="1" x14ac:dyDescent="0.35">
      <c r="A56" s="3"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24A75-AE77-4EBC-ADBE-3C4210622797}">
  <dimension ref="A1:O60"/>
  <sheetViews>
    <sheetView zoomScale="86" zoomScaleNormal="55" workbookViewId="0">
      <selection activeCell="A49" sqref="A49"/>
    </sheetView>
  </sheetViews>
  <sheetFormatPr defaultRowHeight="14.4" x14ac:dyDescent="0.3"/>
  <cols>
    <col min="2" max="2" width="12.77734375" customWidth="1"/>
    <col min="6" max="6" width="19.44140625" customWidth="1"/>
    <col min="7" max="7" width="13.109375" customWidth="1"/>
    <col min="8" max="9" width="11.109375" customWidth="1"/>
    <col min="10" max="10" width="10.21875" customWidth="1"/>
    <col min="11" max="11" width="10.88671875" customWidth="1"/>
    <col min="12" max="12" width="15.44140625" customWidth="1"/>
    <col min="13" max="13" width="11.44140625" customWidth="1"/>
    <col min="14" max="14" width="11.109375" customWidth="1"/>
    <col min="15" max="15" width="11.77734375" customWidth="1"/>
  </cols>
  <sheetData>
    <row r="1" spans="1:15" ht="15" thickBot="1" x14ac:dyDescent="0.35">
      <c r="A1" s="7" t="s">
        <v>40</v>
      </c>
      <c r="B1" s="6" t="s">
        <v>41</v>
      </c>
      <c r="C1" s="6" t="s">
        <v>42</v>
      </c>
      <c r="D1" s="6" t="s">
        <v>43</v>
      </c>
      <c r="E1" s="6" t="s">
        <v>44</v>
      </c>
      <c r="F1" s="6" t="s">
        <v>45</v>
      </c>
      <c r="G1" s="6" t="s">
        <v>139</v>
      </c>
      <c r="H1" s="6" t="s">
        <v>138</v>
      </c>
      <c r="I1" s="6" t="s">
        <v>140</v>
      </c>
      <c r="J1" s="6" t="s">
        <v>130</v>
      </c>
      <c r="K1" s="6" t="s">
        <v>135</v>
      </c>
      <c r="L1" s="6" t="s">
        <v>134</v>
      </c>
      <c r="M1" s="28" t="s">
        <v>146</v>
      </c>
      <c r="N1" s="28" t="s">
        <v>147</v>
      </c>
      <c r="O1" s="28" t="s">
        <v>148</v>
      </c>
    </row>
    <row r="2" spans="1:15" ht="14.4" customHeight="1" thickBot="1" x14ac:dyDescent="0.35">
      <c r="A2" s="8">
        <v>1001</v>
      </c>
      <c r="B2" s="9" t="s">
        <v>46</v>
      </c>
      <c r="C2" s="9">
        <v>61</v>
      </c>
      <c r="D2" s="9">
        <v>48</v>
      </c>
      <c r="E2" s="9">
        <v>76</v>
      </c>
      <c r="F2" s="10">
        <v>43101</v>
      </c>
      <c r="G2" s="21">
        <f>SUM(C2:E2)</f>
        <v>185</v>
      </c>
      <c r="H2" s="10" t="str">
        <f>IF(G2&gt;=240, "A", IF(G2&gt;=180, "B", IF(G2&gt;=120, "C", "F")))</f>
        <v>B</v>
      </c>
      <c r="I2" s="10" t="str">
        <f>IF(G2&gt;150,"Pass","Fail")</f>
        <v>Pass</v>
      </c>
      <c r="J2" s="10" t="b">
        <f>IF(AND(C2&gt;80,D2&gt;80),TRUE,FALSE)</f>
        <v>0</v>
      </c>
      <c r="K2" s="21">
        <f>AVERAGE(G2)/3</f>
        <v>61.666666666666664</v>
      </c>
      <c r="L2" s="9">
        <f>COUNTIFS($K$2:$K$21,"&gt;60")</f>
        <v>16</v>
      </c>
      <c r="M2" t="str">
        <f>LEFT(B2,FIND(" ",B2) - 1)</f>
        <v>Student</v>
      </c>
      <c r="N2" t="str">
        <f>UPPER(B2)</f>
        <v>STUDENT 1</v>
      </c>
      <c r="O2" t="str">
        <f>LOWER(B2)</f>
        <v>student 1</v>
      </c>
    </row>
    <row r="3" spans="1:15" ht="15" thickBot="1" x14ac:dyDescent="0.35">
      <c r="A3" s="8">
        <v>1002</v>
      </c>
      <c r="B3" s="9" t="s">
        <v>47</v>
      </c>
      <c r="C3" s="9">
        <v>78</v>
      </c>
      <c r="D3" s="9">
        <v>76</v>
      </c>
      <c r="E3" s="9">
        <v>70</v>
      </c>
      <c r="F3" s="10">
        <v>43281</v>
      </c>
      <c r="G3" s="21">
        <f t="shared" ref="G3:G21" si="0">SUM(C3:E3)</f>
        <v>224</v>
      </c>
      <c r="H3" s="10" t="str">
        <f t="shared" ref="H3:H21" si="1">IF(G3&gt;=240, "A", IF(G3&gt;=180, "B", IF(G3&gt;=120, "C", "F")))</f>
        <v>B</v>
      </c>
      <c r="I3" s="10" t="str">
        <f t="shared" ref="I3:I21" si="2">IF(G3&gt;150,"Pass","Fail")</f>
        <v>Pass</v>
      </c>
      <c r="J3" s="10" t="b">
        <f t="shared" ref="J3:J21" si="3">IF(AND(C3&gt;80,D3&gt;80),TRUE,FALSE)</f>
        <v>0</v>
      </c>
      <c r="K3" s="21">
        <f t="shared" ref="K3:K21" si="4">AVERAGE(G3)/3</f>
        <v>74.666666666666671</v>
      </c>
      <c r="N3" t="str">
        <f t="shared" ref="N3:N21" si="5">UPPER(B3)</f>
        <v>STUDENT 2</v>
      </c>
      <c r="O3" t="str">
        <f t="shared" ref="O3:O21" si="6">LOWER(B3)</f>
        <v>student 2</v>
      </c>
    </row>
    <row r="4" spans="1:15" ht="15" thickBot="1" x14ac:dyDescent="0.35">
      <c r="A4" s="8">
        <v>1003</v>
      </c>
      <c r="B4" s="9" t="s">
        <v>48</v>
      </c>
      <c r="C4" s="9">
        <v>97</v>
      </c>
      <c r="D4" s="9">
        <v>60</v>
      </c>
      <c r="E4" s="9">
        <v>51</v>
      </c>
      <c r="F4" s="10">
        <v>43461</v>
      </c>
      <c r="G4" s="21">
        <f t="shared" si="0"/>
        <v>208</v>
      </c>
      <c r="H4" s="10" t="str">
        <f t="shared" si="1"/>
        <v>B</v>
      </c>
      <c r="I4" s="10" t="str">
        <f t="shared" si="2"/>
        <v>Pass</v>
      </c>
      <c r="J4" s="10" t="b">
        <f t="shared" si="3"/>
        <v>0</v>
      </c>
      <c r="K4" s="21">
        <f t="shared" si="4"/>
        <v>69.333333333333329</v>
      </c>
      <c r="L4" s="6" t="s">
        <v>136</v>
      </c>
      <c r="N4" t="str">
        <f t="shared" si="5"/>
        <v>STUDENT 3</v>
      </c>
      <c r="O4" t="str">
        <f t="shared" si="6"/>
        <v>student 3</v>
      </c>
    </row>
    <row r="5" spans="1:15" ht="15" thickBot="1" x14ac:dyDescent="0.35">
      <c r="A5" s="8">
        <v>1004</v>
      </c>
      <c r="B5" s="9" t="s">
        <v>49</v>
      </c>
      <c r="C5" s="9">
        <v>74</v>
      </c>
      <c r="D5" s="9">
        <v>55</v>
      </c>
      <c r="E5" s="9">
        <v>46</v>
      </c>
      <c r="F5" s="10">
        <v>43641</v>
      </c>
      <c r="G5" s="21">
        <f t="shared" si="0"/>
        <v>175</v>
      </c>
      <c r="H5" s="10" t="str">
        <f t="shared" si="1"/>
        <v>C</v>
      </c>
      <c r="I5" s="10" t="str">
        <f t="shared" si="2"/>
        <v>Pass</v>
      </c>
      <c r="J5" s="10" t="b">
        <f t="shared" si="3"/>
        <v>0</v>
      </c>
      <c r="K5" s="21">
        <f t="shared" si="4"/>
        <v>58.333333333333336</v>
      </c>
      <c r="L5" s="9">
        <f>COUNTIFS($C$2:$C$21,"&gt;50")</f>
        <v>19</v>
      </c>
      <c r="N5" t="str">
        <f t="shared" si="5"/>
        <v>STUDENT 4</v>
      </c>
      <c r="O5" t="str">
        <f t="shared" si="6"/>
        <v>student 4</v>
      </c>
    </row>
    <row r="6" spans="1:15" ht="15" thickBot="1" x14ac:dyDescent="0.35">
      <c r="A6" s="8">
        <v>1005</v>
      </c>
      <c r="B6" s="9" t="s">
        <v>50</v>
      </c>
      <c r="C6" s="9">
        <v>68</v>
      </c>
      <c r="D6" s="9">
        <v>74</v>
      </c>
      <c r="E6" s="9">
        <v>84</v>
      </c>
      <c r="F6" s="10">
        <v>43821</v>
      </c>
      <c r="G6" s="21">
        <f t="shared" si="0"/>
        <v>226</v>
      </c>
      <c r="H6" s="10" t="str">
        <f t="shared" si="1"/>
        <v>B</v>
      </c>
      <c r="I6" s="10" t="str">
        <f t="shared" si="2"/>
        <v>Pass</v>
      </c>
      <c r="J6" s="10" t="b">
        <f t="shared" si="3"/>
        <v>0</v>
      </c>
      <c r="K6" s="21">
        <f t="shared" si="4"/>
        <v>75.333333333333329</v>
      </c>
      <c r="N6" t="str">
        <f t="shared" si="5"/>
        <v>STUDENT 5</v>
      </c>
      <c r="O6" t="str">
        <f t="shared" si="6"/>
        <v>student 5</v>
      </c>
    </row>
    <row r="7" spans="1:15" ht="15" thickBot="1" x14ac:dyDescent="0.35">
      <c r="A7" s="8">
        <v>1006</v>
      </c>
      <c r="B7" s="9" t="s">
        <v>51</v>
      </c>
      <c r="C7" s="9">
        <v>80</v>
      </c>
      <c r="D7" s="9">
        <v>70</v>
      </c>
      <c r="E7" s="9">
        <v>65</v>
      </c>
      <c r="F7" s="10">
        <v>44001</v>
      </c>
      <c r="G7" s="21">
        <f t="shared" si="0"/>
        <v>215</v>
      </c>
      <c r="H7" s="10" t="str">
        <f t="shared" si="1"/>
        <v>B</v>
      </c>
      <c r="I7" s="10" t="str">
        <f t="shared" si="2"/>
        <v>Pass</v>
      </c>
      <c r="J7" s="10" t="b">
        <f t="shared" si="3"/>
        <v>0</v>
      </c>
      <c r="K7" s="21">
        <f t="shared" si="4"/>
        <v>71.666666666666671</v>
      </c>
      <c r="N7" t="str">
        <f t="shared" si="5"/>
        <v>STUDENT 6</v>
      </c>
      <c r="O7" t="str">
        <f t="shared" si="6"/>
        <v>student 6</v>
      </c>
    </row>
    <row r="8" spans="1:15" ht="15" thickBot="1" x14ac:dyDescent="0.35">
      <c r="A8" s="8">
        <v>1007</v>
      </c>
      <c r="B8" s="9" t="s">
        <v>52</v>
      </c>
      <c r="C8" s="9">
        <v>75</v>
      </c>
      <c r="D8" s="9">
        <v>47</v>
      </c>
      <c r="E8" s="9">
        <v>78</v>
      </c>
      <c r="F8" s="10">
        <v>44181</v>
      </c>
      <c r="G8" s="21">
        <f t="shared" si="0"/>
        <v>200</v>
      </c>
      <c r="H8" s="10" t="str">
        <f t="shared" si="1"/>
        <v>B</v>
      </c>
      <c r="I8" s="10" t="str">
        <f t="shared" si="2"/>
        <v>Pass</v>
      </c>
      <c r="J8" s="10" t="b">
        <f t="shared" si="3"/>
        <v>0</v>
      </c>
      <c r="K8" s="21">
        <f t="shared" si="4"/>
        <v>66.666666666666671</v>
      </c>
      <c r="N8" t="str">
        <f t="shared" si="5"/>
        <v>STUDENT 7</v>
      </c>
      <c r="O8" t="str">
        <f t="shared" si="6"/>
        <v>student 7</v>
      </c>
    </row>
    <row r="9" spans="1:15" ht="15" thickBot="1" x14ac:dyDescent="0.35">
      <c r="A9" s="8">
        <v>1008</v>
      </c>
      <c r="B9" s="9" t="s">
        <v>53</v>
      </c>
      <c r="C9" s="9">
        <v>94</v>
      </c>
      <c r="D9" s="9">
        <v>67</v>
      </c>
      <c r="E9" s="9">
        <v>64</v>
      </c>
      <c r="F9" s="10">
        <v>44361</v>
      </c>
      <c r="G9" s="21">
        <f t="shared" si="0"/>
        <v>225</v>
      </c>
      <c r="H9" s="10" t="str">
        <f t="shared" si="1"/>
        <v>B</v>
      </c>
      <c r="I9" s="10" t="str">
        <f t="shared" si="2"/>
        <v>Pass</v>
      </c>
      <c r="J9" s="10" t="b">
        <f t="shared" si="3"/>
        <v>0</v>
      </c>
      <c r="K9" s="21">
        <f t="shared" si="4"/>
        <v>75</v>
      </c>
      <c r="N9" t="str">
        <f t="shared" si="5"/>
        <v>STUDENT 8</v>
      </c>
      <c r="O9" t="str">
        <f t="shared" si="6"/>
        <v>student 8</v>
      </c>
    </row>
    <row r="10" spans="1:15" ht="15" thickBot="1" x14ac:dyDescent="0.35">
      <c r="A10" s="8">
        <v>1009</v>
      </c>
      <c r="B10" s="9" t="s">
        <v>54</v>
      </c>
      <c r="C10" s="9">
        <v>41</v>
      </c>
      <c r="D10" s="9">
        <v>75</v>
      </c>
      <c r="E10" s="9">
        <v>56</v>
      </c>
      <c r="F10" s="10">
        <v>44541</v>
      </c>
      <c r="G10" s="21">
        <f t="shared" si="0"/>
        <v>172</v>
      </c>
      <c r="H10" s="10" t="str">
        <f t="shared" si="1"/>
        <v>C</v>
      </c>
      <c r="I10" s="10" t="str">
        <f t="shared" si="2"/>
        <v>Pass</v>
      </c>
      <c r="J10" s="10" t="b">
        <f t="shared" si="3"/>
        <v>0</v>
      </c>
      <c r="K10" s="21">
        <f t="shared" si="4"/>
        <v>57.333333333333336</v>
      </c>
      <c r="N10" t="str">
        <f t="shared" si="5"/>
        <v>STUDENT 9</v>
      </c>
      <c r="O10" t="str">
        <f t="shared" si="6"/>
        <v>student 9</v>
      </c>
    </row>
    <row r="11" spans="1:15" ht="14.4" customHeight="1" thickBot="1" x14ac:dyDescent="0.35">
      <c r="A11" s="8">
        <v>1010</v>
      </c>
      <c r="B11" s="9" t="s">
        <v>55</v>
      </c>
      <c r="C11" s="9">
        <v>98</v>
      </c>
      <c r="D11" s="9">
        <v>54</v>
      </c>
      <c r="E11" s="9">
        <v>58</v>
      </c>
      <c r="F11" s="10">
        <v>44721</v>
      </c>
      <c r="G11" s="21">
        <f t="shared" si="0"/>
        <v>210</v>
      </c>
      <c r="H11" s="10" t="str">
        <f t="shared" si="1"/>
        <v>B</v>
      </c>
      <c r="I11" s="10" t="str">
        <f t="shared" si="2"/>
        <v>Pass</v>
      </c>
      <c r="J11" s="10" t="b">
        <f t="shared" si="3"/>
        <v>0</v>
      </c>
      <c r="K11" s="21">
        <f t="shared" si="4"/>
        <v>70</v>
      </c>
      <c r="N11" t="str">
        <f t="shared" si="5"/>
        <v>STUDENT 10</v>
      </c>
      <c r="O11" t="str">
        <f t="shared" si="6"/>
        <v>student 10</v>
      </c>
    </row>
    <row r="12" spans="1:15" ht="15" thickBot="1" x14ac:dyDescent="0.35">
      <c r="A12" s="8">
        <v>1011</v>
      </c>
      <c r="B12" s="9" t="s">
        <v>56</v>
      </c>
      <c r="C12" s="9">
        <v>73</v>
      </c>
      <c r="D12" s="9">
        <v>79</v>
      </c>
      <c r="E12" s="9">
        <v>53</v>
      </c>
      <c r="F12" s="10">
        <v>44901</v>
      </c>
      <c r="G12" s="21">
        <f t="shared" si="0"/>
        <v>205</v>
      </c>
      <c r="H12" s="10" t="str">
        <f t="shared" si="1"/>
        <v>B</v>
      </c>
      <c r="I12" s="10" t="str">
        <f t="shared" si="2"/>
        <v>Pass</v>
      </c>
      <c r="J12" s="10" t="b">
        <f t="shared" si="3"/>
        <v>0</v>
      </c>
      <c r="K12" s="21">
        <f t="shared" si="4"/>
        <v>68.333333333333329</v>
      </c>
      <c r="N12" t="str">
        <f t="shared" si="5"/>
        <v>STUDENT 11</v>
      </c>
      <c r="O12" t="str">
        <f t="shared" si="6"/>
        <v>student 11</v>
      </c>
    </row>
    <row r="13" spans="1:15" ht="15" thickBot="1" x14ac:dyDescent="0.35">
      <c r="A13" s="8">
        <v>1012</v>
      </c>
      <c r="B13" s="9" t="s">
        <v>57</v>
      </c>
      <c r="C13" s="9">
        <v>85</v>
      </c>
      <c r="D13" s="9">
        <v>89</v>
      </c>
      <c r="E13" s="9">
        <v>79</v>
      </c>
      <c r="F13" s="10">
        <v>45081</v>
      </c>
      <c r="G13" s="21">
        <f t="shared" si="0"/>
        <v>253</v>
      </c>
      <c r="H13" s="10" t="str">
        <f t="shared" si="1"/>
        <v>A</v>
      </c>
      <c r="I13" s="10" t="str">
        <f t="shared" si="2"/>
        <v>Pass</v>
      </c>
      <c r="J13" s="10" t="b">
        <f t="shared" si="3"/>
        <v>1</v>
      </c>
      <c r="K13" s="21">
        <f t="shared" si="4"/>
        <v>84.333333333333329</v>
      </c>
      <c r="N13" t="str">
        <f t="shared" si="5"/>
        <v>STUDENT 12</v>
      </c>
      <c r="O13" t="str">
        <f t="shared" si="6"/>
        <v>student 12</v>
      </c>
    </row>
    <row r="14" spans="1:15" ht="15" thickBot="1" x14ac:dyDescent="0.35">
      <c r="A14" s="8">
        <v>1013</v>
      </c>
      <c r="B14" s="9" t="s">
        <v>58</v>
      </c>
      <c r="C14" s="9">
        <v>98</v>
      </c>
      <c r="D14" s="9">
        <v>90</v>
      </c>
      <c r="E14" s="9">
        <v>97</v>
      </c>
      <c r="F14" s="10">
        <v>45261</v>
      </c>
      <c r="G14" s="21">
        <f t="shared" si="0"/>
        <v>285</v>
      </c>
      <c r="H14" s="10" t="str">
        <f t="shared" si="1"/>
        <v>A</v>
      </c>
      <c r="I14" s="10" t="str">
        <f t="shared" si="2"/>
        <v>Pass</v>
      </c>
      <c r="J14" s="10" t="b">
        <f t="shared" si="3"/>
        <v>1</v>
      </c>
      <c r="K14" s="21">
        <f t="shared" si="4"/>
        <v>95</v>
      </c>
      <c r="N14" t="str">
        <f t="shared" si="5"/>
        <v>STUDENT 13</v>
      </c>
      <c r="O14" t="str">
        <f t="shared" si="6"/>
        <v>student 13</v>
      </c>
    </row>
    <row r="15" spans="1:15" ht="15" thickBot="1" x14ac:dyDescent="0.35">
      <c r="A15" s="8">
        <v>1014</v>
      </c>
      <c r="B15" s="9" t="s">
        <v>59</v>
      </c>
      <c r="C15" s="9">
        <v>93</v>
      </c>
      <c r="D15" s="9">
        <v>40</v>
      </c>
      <c r="E15" s="9">
        <v>44</v>
      </c>
      <c r="F15" s="10">
        <v>45441</v>
      </c>
      <c r="G15" s="21">
        <f t="shared" si="0"/>
        <v>177</v>
      </c>
      <c r="H15" s="10" t="str">
        <f t="shared" si="1"/>
        <v>C</v>
      </c>
      <c r="I15" s="10" t="str">
        <f t="shared" si="2"/>
        <v>Pass</v>
      </c>
      <c r="J15" s="10" t="b">
        <f t="shared" si="3"/>
        <v>0</v>
      </c>
      <c r="K15" s="21">
        <f t="shared" si="4"/>
        <v>59</v>
      </c>
      <c r="N15" t="str">
        <f t="shared" si="5"/>
        <v>STUDENT 14</v>
      </c>
      <c r="O15" t="str">
        <f t="shared" si="6"/>
        <v>student 14</v>
      </c>
    </row>
    <row r="16" spans="1:15" ht="15" thickBot="1" x14ac:dyDescent="0.35">
      <c r="A16" s="8">
        <v>1015</v>
      </c>
      <c r="B16" s="9" t="s">
        <v>60</v>
      </c>
      <c r="C16" s="9">
        <v>70</v>
      </c>
      <c r="D16" s="9">
        <v>51</v>
      </c>
      <c r="E16" s="9">
        <v>75</v>
      </c>
      <c r="F16" s="10">
        <v>45621</v>
      </c>
      <c r="G16" s="21">
        <f t="shared" si="0"/>
        <v>196</v>
      </c>
      <c r="H16" s="10" t="str">
        <f t="shared" si="1"/>
        <v>B</v>
      </c>
      <c r="I16" s="10" t="str">
        <f t="shared" si="2"/>
        <v>Pass</v>
      </c>
      <c r="J16" s="10" t="b">
        <f t="shared" si="3"/>
        <v>0</v>
      </c>
      <c r="K16" s="21">
        <f t="shared" si="4"/>
        <v>65.333333333333329</v>
      </c>
      <c r="N16" t="str">
        <f t="shared" si="5"/>
        <v>STUDENT 15</v>
      </c>
      <c r="O16" t="str">
        <f t="shared" si="6"/>
        <v>student 15</v>
      </c>
    </row>
    <row r="17" spans="1:15" ht="15" thickBot="1" x14ac:dyDescent="0.35">
      <c r="A17" s="8">
        <v>1016</v>
      </c>
      <c r="B17" s="9" t="s">
        <v>61</v>
      </c>
      <c r="C17" s="9">
        <v>98</v>
      </c>
      <c r="D17" s="9">
        <v>77</v>
      </c>
      <c r="E17" s="9">
        <v>60</v>
      </c>
      <c r="F17" s="10">
        <v>45801</v>
      </c>
      <c r="G17" s="21">
        <f t="shared" si="0"/>
        <v>235</v>
      </c>
      <c r="H17" s="10" t="str">
        <f t="shared" si="1"/>
        <v>B</v>
      </c>
      <c r="I17" s="10" t="str">
        <f t="shared" si="2"/>
        <v>Pass</v>
      </c>
      <c r="J17" s="10" t="b">
        <f t="shared" si="3"/>
        <v>0</v>
      </c>
      <c r="K17" s="21">
        <f t="shared" si="4"/>
        <v>78.333333333333329</v>
      </c>
      <c r="N17" t="str">
        <f t="shared" si="5"/>
        <v>STUDENT 16</v>
      </c>
      <c r="O17" t="str">
        <f t="shared" si="6"/>
        <v>student 16</v>
      </c>
    </row>
    <row r="18" spans="1:15" ht="15" thickBot="1" x14ac:dyDescent="0.35">
      <c r="A18" s="8">
        <v>1017</v>
      </c>
      <c r="B18" s="9" t="s">
        <v>62</v>
      </c>
      <c r="C18" s="9">
        <v>66</v>
      </c>
      <c r="D18" s="9">
        <v>59</v>
      </c>
      <c r="E18" s="9">
        <v>40</v>
      </c>
      <c r="F18" s="10">
        <v>45981</v>
      </c>
      <c r="G18" s="21">
        <f t="shared" si="0"/>
        <v>165</v>
      </c>
      <c r="H18" s="10" t="str">
        <f t="shared" si="1"/>
        <v>C</v>
      </c>
      <c r="I18" s="10" t="str">
        <f t="shared" si="2"/>
        <v>Pass</v>
      </c>
      <c r="J18" s="10" t="b">
        <f t="shared" si="3"/>
        <v>0</v>
      </c>
      <c r="K18" s="21">
        <f t="shared" si="4"/>
        <v>55</v>
      </c>
      <c r="N18" t="str">
        <f t="shared" si="5"/>
        <v>STUDENT 17</v>
      </c>
      <c r="O18" t="str">
        <f t="shared" si="6"/>
        <v>student 17</v>
      </c>
    </row>
    <row r="19" spans="1:15" ht="15" thickBot="1" x14ac:dyDescent="0.35">
      <c r="A19" s="8">
        <v>1018</v>
      </c>
      <c r="B19" s="9" t="s">
        <v>63</v>
      </c>
      <c r="C19" s="9">
        <v>82</v>
      </c>
      <c r="D19" s="9">
        <v>48</v>
      </c>
      <c r="E19" s="9">
        <v>79</v>
      </c>
      <c r="F19" s="10">
        <v>46161</v>
      </c>
      <c r="G19" s="21">
        <f t="shared" si="0"/>
        <v>209</v>
      </c>
      <c r="H19" s="10" t="str">
        <f t="shared" si="1"/>
        <v>B</v>
      </c>
      <c r="I19" s="10" t="str">
        <f t="shared" si="2"/>
        <v>Pass</v>
      </c>
      <c r="J19" s="10" t="b">
        <f t="shared" si="3"/>
        <v>0</v>
      </c>
      <c r="K19" s="21">
        <f t="shared" si="4"/>
        <v>69.666666666666671</v>
      </c>
      <c r="N19" t="str">
        <f t="shared" si="5"/>
        <v>STUDENT 18</v>
      </c>
      <c r="O19" t="str">
        <f t="shared" si="6"/>
        <v>student 18</v>
      </c>
    </row>
    <row r="20" spans="1:15" ht="15" thickBot="1" x14ac:dyDescent="0.35">
      <c r="A20" s="8">
        <v>1019</v>
      </c>
      <c r="B20" s="9" t="s">
        <v>64</v>
      </c>
      <c r="C20" s="9">
        <v>90</v>
      </c>
      <c r="D20" s="9">
        <v>78</v>
      </c>
      <c r="E20" s="9">
        <v>60</v>
      </c>
      <c r="F20" s="10">
        <v>46341</v>
      </c>
      <c r="G20" s="21">
        <f t="shared" si="0"/>
        <v>228</v>
      </c>
      <c r="H20" s="10" t="str">
        <f t="shared" si="1"/>
        <v>B</v>
      </c>
      <c r="I20" s="10" t="str">
        <f t="shared" si="2"/>
        <v>Pass</v>
      </c>
      <c r="J20" s="10" t="b">
        <f t="shared" si="3"/>
        <v>0</v>
      </c>
      <c r="K20" s="21">
        <f t="shared" si="4"/>
        <v>76</v>
      </c>
      <c r="N20" t="str">
        <f t="shared" si="5"/>
        <v>STUDENT 19</v>
      </c>
      <c r="O20" t="str">
        <f t="shared" si="6"/>
        <v>student 19</v>
      </c>
    </row>
    <row r="21" spans="1:15" ht="15" thickBot="1" x14ac:dyDescent="0.35">
      <c r="A21" s="8">
        <v>1020</v>
      </c>
      <c r="B21" s="9" t="s">
        <v>65</v>
      </c>
      <c r="C21" s="9">
        <v>83</v>
      </c>
      <c r="D21" s="9">
        <v>92</v>
      </c>
      <c r="E21" s="9">
        <v>55</v>
      </c>
      <c r="F21" s="10">
        <v>46521</v>
      </c>
      <c r="G21" s="21">
        <f t="shared" si="0"/>
        <v>230</v>
      </c>
      <c r="H21" s="10" t="str">
        <f t="shared" si="1"/>
        <v>B</v>
      </c>
      <c r="I21" s="10" t="str">
        <f t="shared" si="2"/>
        <v>Pass</v>
      </c>
      <c r="J21" s="10" t="b">
        <f t="shared" si="3"/>
        <v>1</v>
      </c>
      <c r="K21" s="21">
        <f t="shared" si="4"/>
        <v>76.666666666666671</v>
      </c>
      <c r="N21" t="str">
        <f t="shared" si="5"/>
        <v>STUDENT 20</v>
      </c>
      <c r="O21" t="str">
        <f t="shared" si="6"/>
        <v>student 20</v>
      </c>
    </row>
    <row r="22" spans="1:15" ht="15" thickBot="1" x14ac:dyDescent="0.35"/>
    <row r="23" spans="1:15" ht="15" thickBot="1" x14ac:dyDescent="0.35">
      <c r="A23" s="32" t="s">
        <v>137</v>
      </c>
      <c r="B23" s="33"/>
      <c r="C23" s="33"/>
      <c r="D23" s="33"/>
      <c r="E23" s="33"/>
      <c r="F23" s="33"/>
      <c r="G23" s="33"/>
      <c r="H23" s="34"/>
      <c r="K23" s="23"/>
    </row>
    <row r="24" spans="1:15" x14ac:dyDescent="0.3">
      <c r="B24" s="22">
        <f>AVERAGEIFS($K$2:$K$21, $K$2:$K$21, "&gt;60")</f>
        <v>73.625000000000014</v>
      </c>
    </row>
    <row r="25" spans="1:15" ht="15" thickBot="1" x14ac:dyDescent="0.35"/>
    <row r="26" spans="1:15" ht="15" thickBot="1" x14ac:dyDescent="0.35">
      <c r="A26" s="32" t="s">
        <v>141</v>
      </c>
      <c r="B26" s="33"/>
      <c r="C26" s="33"/>
      <c r="D26" s="34"/>
    </row>
    <row r="27" spans="1:15" ht="15" thickBot="1" x14ac:dyDescent="0.35">
      <c r="A27" s="32" t="s">
        <v>142</v>
      </c>
      <c r="B27" s="33"/>
      <c r="C27" s="33"/>
      <c r="D27" s="33"/>
      <c r="E27" s="33"/>
      <c r="F27" s="34"/>
      <c r="H27" s="32" t="s">
        <v>33</v>
      </c>
      <c r="I27" s="33"/>
      <c r="J27" s="33"/>
      <c r="K27" s="33"/>
      <c r="L27" s="33"/>
    </row>
    <row r="28" spans="1:15" ht="15" thickBot="1" x14ac:dyDescent="0.35">
      <c r="A28" s="8">
        <v>1006</v>
      </c>
      <c r="C28" t="str">
        <f>VLOOKUP(A28,$A$2:$F$21,2,FALSE)</f>
        <v>Student 6</v>
      </c>
      <c r="H28" s="32" t="s">
        <v>156</v>
      </c>
      <c r="I28" s="33"/>
      <c r="J28" s="33"/>
      <c r="K28" s="33"/>
      <c r="L28" s="33"/>
      <c r="M28" s="33"/>
    </row>
    <row r="29" spans="1:15" ht="15" thickBot="1" x14ac:dyDescent="0.35">
      <c r="H29" s="30">
        <f>DATEDIF(F2,F3,"D")</f>
        <v>180</v>
      </c>
    </row>
    <row r="30" spans="1:15" ht="15" thickBot="1" x14ac:dyDescent="0.35">
      <c r="H30" s="32" t="s">
        <v>34</v>
      </c>
      <c r="I30" s="33"/>
      <c r="J30" s="33"/>
      <c r="K30" s="33"/>
      <c r="L30" s="33"/>
      <c r="M30" s="34"/>
    </row>
    <row r="31" spans="1:15" ht="15" thickBot="1" x14ac:dyDescent="0.35">
      <c r="A31" s="35" t="s">
        <v>151</v>
      </c>
      <c r="B31" s="36"/>
      <c r="C31" s="36"/>
      <c r="D31" s="36"/>
    </row>
    <row r="32" spans="1:15" ht="15" thickBot="1" x14ac:dyDescent="0.35">
      <c r="A32" s="37" t="s">
        <v>153</v>
      </c>
      <c r="B32" s="38"/>
      <c r="C32" s="38"/>
      <c r="D32" s="38"/>
      <c r="E32" s="38"/>
      <c r="F32" s="38"/>
      <c r="G32" s="38"/>
      <c r="J32" s="29">
        <f ca="1">NOW()</f>
        <v>46310.422467013886</v>
      </c>
    </row>
    <row r="33" spans="1:11" x14ac:dyDescent="0.3">
      <c r="A33" t="s">
        <v>158</v>
      </c>
      <c r="B33" t="str" cm="1">
        <f t="array" aca="1" ref="B33" ca="1">INDIRECT(A33)</f>
        <v>Student 4</v>
      </c>
      <c r="J33" s="29">
        <v>38681</v>
      </c>
      <c r="K33">
        <f ca="1">DATEDIF(J33,J32,"Y")</f>
        <v>20</v>
      </c>
    </row>
    <row r="35" spans="1:11" ht="15" thickBot="1" x14ac:dyDescent="0.35">
      <c r="J35" s="29"/>
    </row>
    <row r="36" spans="1:11" ht="15" thickBot="1" x14ac:dyDescent="0.35">
      <c r="A36" s="32" t="s">
        <v>36</v>
      </c>
      <c r="B36" s="33"/>
      <c r="C36" s="33"/>
      <c r="J36" s="29"/>
    </row>
    <row r="37" spans="1:11" ht="15" thickBot="1" x14ac:dyDescent="0.35">
      <c r="A37" s="32" t="s">
        <v>159</v>
      </c>
      <c r="B37" s="33"/>
    </row>
    <row r="38" spans="1:11" x14ac:dyDescent="0.3">
      <c r="A38">
        <f>ROUND(C2,0)</f>
        <v>61</v>
      </c>
    </row>
    <row r="39" spans="1:11" ht="15" thickBot="1" x14ac:dyDescent="0.35"/>
    <row r="40" spans="1:11" ht="15" thickBot="1" x14ac:dyDescent="0.35">
      <c r="A40" s="32" t="s">
        <v>160</v>
      </c>
      <c r="B40" s="33"/>
    </row>
    <row r="41" spans="1:11" x14ac:dyDescent="0.3">
      <c r="A41">
        <f>CEILING(C3,2)</f>
        <v>78</v>
      </c>
    </row>
    <row r="42" spans="1:11" ht="15" thickBot="1" x14ac:dyDescent="0.35"/>
    <row r="43" spans="1:11" ht="15" thickBot="1" x14ac:dyDescent="0.35">
      <c r="A43" s="32" t="s">
        <v>161</v>
      </c>
      <c r="B43" s="33"/>
    </row>
    <row r="44" spans="1:11" x14ac:dyDescent="0.3">
      <c r="A44">
        <f>FLOOR(C15,2)</f>
        <v>92</v>
      </c>
    </row>
    <row r="45" spans="1:11" ht="15" thickBot="1" x14ac:dyDescent="0.35"/>
    <row r="46" spans="1:11" ht="15" thickBot="1" x14ac:dyDescent="0.35">
      <c r="A46" s="32" t="s">
        <v>38</v>
      </c>
      <c r="B46" s="33"/>
      <c r="C46" s="33"/>
      <c r="D46" s="33"/>
      <c r="E46" s="33"/>
      <c r="F46" s="34"/>
    </row>
    <row r="47" spans="1:11" ht="15" thickBot="1" x14ac:dyDescent="0.35">
      <c r="A47" s="32" t="s">
        <v>39</v>
      </c>
      <c r="B47" s="33"/>
      <c r="C47" s="33"/>
      <c r="D47" s="33"/>
      <c r="E47" s="33"/>
      <c r="F47" s="34"/>
    </row>
    <row r="48" spans="1:11" x14ac:dyDescent="0.3">
      <c r="A48" cm="1">
        <f t="array" ref="A48:F57">_xlfn._xlws.FILTER(A2:F21, C2:C21&gt;80, "Not Found")</f>
        <v>1003</v>
      </c>
      <c r="B48" t="str">
        <v>Student 3</v>
      </c>
      <c r="C48">
        <v>97</v>
      </c>
      <c r="D48">
        <v>60</v>
      </c>
      <c r="E48">
        <v>51</v>
      </c>
      <c r="F48" s="31">
        <v>43461</v>
      </c>
    </row>
    <row r="49" spans="1:6" x14ac:dyDescent="0.3">
      <c r="A49">
        <v>1008</v>
      </c>
      <c r="B49" t="str">
        <v>Student 8</v>
      </c>
      <c r="C49">
        <v>94</v>
      </c>
      <c r="D49">
        <v>67</v>
      </c>
      <c r="E49">
        <v>64</v>
      </c>
      <c r="F49" s="31">
        <v>44361</v>
      </c>
    </row>
    <row r="50" spans="1:6" x14ac:dyDescent="0.3">
      <c r="A50">
        <v>1010</v>
      </c>
      <c r="B50" t="str">
        <v>Student 10</v>
      </c>
      <c r="C50">
        <v>98</v>
      </c>
      <c r="D50">
        <v>54</v>
      </c>
      <c r="E50">
        <v>58</v>
      </c>
      <c r="F50" s="31">
        <v>44721</v>
      </c>
    </row>
    <row r="51" spans="1:6" x14ac:dyDescent="0.3">
      <c r="A51">
        <v>1012</v>
      </c>
      <c r="B51" t="str">
        <v>Student 12</v>
      </c>
      <c r="C51">
        <v>85</v>
      </c>
      <c r="D51">
        <v>89</v>
      </c>
      <c r="E51">
        <v>79</v>
      </c>
      <c r="F51" s="31">
        <v>45081</v>
      </c>
    </row>
    <row r="52" spans="1:6" x14ac:dyDescent="0.3">
      <c r="A52">
        <v>1013</v>
      </c>
      <c r="B52" t="str">
        <v>Student 13</v>
      </c>
      <c r="C52">
        <v>98</v>
      </c>
      <c r="D52">
        <v>90</v>
      </c>
      <c r="E52">
        <v>97</v>
      </c>
      <c r="F52" s="31">
        <v>45261</v>
      </c>
    </row>
    <row r="53" spans="1:6" x14ac:dyDescent="0.3">
      <c r="A53">
        <v>1014</v>
      </c>
      <c r="B53" t="str">
        <v>Student 14</v>
      </c>
      <c r="C53">
        <v>93</v>
      </c>
      <c r="D53">
        <v>40</v>
      </c>
      <c r="E53">
        <v>44</v>
      </c>
      <c r="F53" s="31">
        <v>45441</v>
      </c>
    </row>
    <row r="54" spans="1:6" x14ac:dyDescent="0.3">
      <c r="A54">
        <v>1016</v>
      </c>
      <c r="B54" t="str">
        <v>Student 16</v>
      </c>
      <c r="C54">
        <v>98</v>
      </c>
      <c r="D54">
        <v>77</v>
      </c>
      <c r="E54">
        <v>60</v>
      </c>
      <c r="F54" s="31">
        <v>45801</v>
      </c>
    </row>
    <row r="55" spans="1:6" x14ac:dyDescent="0.3">
      <c r="A55">
        <v>1018</v>
      </c>
      <c r="B55" t="str">
        <v>Student 18</v>
      </c>
      <c r="C55">
        <v>82</v>
      </c>
      <c r="D55">
        <v>48</v>
      </c>
      <c r="E55">
        <v>79</v>
      </c>
      <c r="F55" s="31">
        <v>46161</v>
      </c>
    </row>
    <row r="56" spans="1:6" x14ac:dyDescent="0.3">
      <c r="A56">
        <v>1019</v>
      </c>
      <c r="B56" t="str">
        <v>Student 19</v>
      </c>
      <c r="C56">
        <v>90</v>
      </c>
      <c r="D56">
        <v>78</v>
      </c>
      <c r="E56">
        <v>60</v>
      </c>
      <c r="F56" s="31">
        <v>46341</v>
      </c>
    </row>
    <row r="57" spans="1:6" x14ac:dyDescent="0.3">
      <c r="A57">
        <v>1020</v>
      </c>
      <c r="B57" t="str">
        <v>Student 20</v>
      </c>
      <c r="C57">
        <v>83</v>
      </c>
      <c r="D57">
        <v>92</v>
      </c>
      <c r="E57">
        <v>55</v>
      </c>
      <c r="F57" s="31">
        <v>46521</v>
      </c>
    </row>
    <row r="58" spans="1:6" x14ac:dyDescent="0.3">
      <c r="F58" s="31"/>
    </row>
    <row r="59" spans="1:6" x14ac:dyDescent="0.3">
      <c r="F59" s="31"/>
    </row>
    <row r="60" spans="1:6" x14ac:dyDescent="0.3">
      <c r="F60" s="31"/>
    </row>
  </sheetData>
  <mergeCells count="14">
    <mergeCell ref="A47:F47"/>
    <mergeCell ref="A31:D31"/>
    <mergeCell ref="A32:G32"/>
    <mergeCell ref="A36:C36"/>
    <mergeCell ref="A23:H23"/>
    <mergeCell ref="A26:D26"/>
    <mergeCell ref="A27:F27"/>
    <mergeCell ref="H27:L27"/>
    <mergeCell ref="H28:M28"/>
    <mergeCell ref="H30:M30"/>
    <mergeCell ref="A37:B37"/>
    <mergeCell ref="A40:B40"/>
    <mergeCell ref="A43:B43"/>
    <mergeCell ref="A46:F46"/>
  </mergeCells>
  <pageMargins left="0.7" right="0.7" top="0.75" bottom="0.75" header="0.3" footer="0.3"/>
  <pageSetup orientation="portrait" r:id="rId1"/>
  <ignoredErrors>
    <ignoredError sqref="G2:G2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2E1F4-17A9-4384-93DC-F7A488866A9A}">
  <dimension ref="A1:Q38"/>
  <sheetViews>
    <sheetView zoomScale="71" workbookViewId="0">
      <selection activeCell="L39" sqref="L39"/>
    </sheetView>
  </sheetViews>
  <sheetFormatPr defaultRowHeight="14.4" x14ac:dyDescent="0.3"/>
  <cols>
    <col min="4" max="4" width="10" customWidth="1"/>
    <col min="5" max="5" width="16.21875" customWidth="1"/>
    <col min="6" max="6" width="21.88671875" customWidth="1"/>
    <col min="7" max="7" width="12.33203125" customWidth="1"/>
    <col min="8" max="8" width="10.88671875" customWidth="1"/>
    <col min="11" max="11" width="10.77734375" customWidth="1"/>
    <col min="12" max="12" width="12.88671875" customWidth="1"/>
  </cols>
  <sheetData>
    <row r="1" spans="1:17" ht="30.6" customHeight="1" thickBot="1" x14ac:dyDescent="0.35">
      <c r="A1" s="18" t="s">
        <v>66</v>
      </c>
      <c r="B1" s="19" t="s">
        <v>67</v>
      </c>
      <c r="C1" s="19" t="s">
        <v>68</v>
      </c>
      <c r="D1" s="19" t="s">
        <v>69</v>
      </c>
      <c r="E1" s="19" t="s">
        <v>70</v>
      </c>
      <c r="F1" s="19" t="s">
        <v>71</v>
      </c>
      <c r="G1" s="20" t="s">
        <v>129</v>
      </c>
      <c r="H1" s="13" t="s">
        <v>131</v>
      </c>
    </row>
    <row r="2" spans="1:17" ht="16.95" customHeight="1" thickBot="1" x14ac:dyDescent="0.35">
      <c r="A2" s="14">
        <v>2001</v>
      </c>
      <c r="B2" s="15" t="s">
        <v>72</v>
      </c>
      <c r="C2" s="15" t="s">
        <v>73</v>
      </c>
      <c r="D2" s="15" t="s">
        <v>74</v>
      </c>
      <c r="E2" s="25">
        <v>7048</v>
      </c>
      <c r="F2" s="16">
        <v>44927</v>
      </c>
      <c r="G2" s="17" t="str">
        <f>IF(E2&gt;40000, "20% Discount", IF(E2&gt;20000, "10% Discount", IF(E2&gt;10000, "5% Discount", "No Discount")))</f>
        <v>No Discount</v>
      </c>
      <c r="H2" s="17" t="str">
        <f>IF(OR(B3="Keyboard",E3&gt;10000),"Eligible","Not Eligible")</f>
        <v>Eligible</v>
      </c>
      <c r="K2" s="35" t="s">
        <v>141</v>
      </c>
      <c r="L2" s="36"/>
      <c r="M2" s="36"/>
      <c r="N2" s="39"/>
    </row>
    <row r="3" spans="1:17" ht="16.95" customHeight="1" thickBot="1" x14ac:dyDescent="0.35">
      <c r="A3" s="4">
        <v>2002</v>
      </c>
      <c r="B3" s="5" t="s">
        <v>75</v>
      </c>
      <c r="C3" s="5" t="s">
        <v>76</v>
      </c>
      <c r="D3" s="5" t="s">
        <v>77</v>
      </c>
      <c r="E3" s="26">
        <v>17428</v>
      </c>
      <c r="F3" s="12">
        <v>44942</v>
      </c>
      <c r="G3" s="17" t="str">
        <f t="shared" ref="G3:G21" si="0">IF(E3&gt;40000, "20% Discount", IF(E3&gt;20000, "10% Discount", IF(E3&gt;10000, "5% Discount", "No Discount")))</f>
        <v>5% Discount</v>
      </c>
      <c r="H3" s="17" t="str">
        <f>IF(OR(B3="Keyboard", E3&gt;10000), "Eligible", "Not Eligible")</f>
        <v>Eligible</v>
      </c>
      <c r="K3" s="40" t="s">
        <v>152</v>
      </c>
      <c r="L3" s="41"/>
      <c r="M3" s="41"/>
      <c r="N3" s="41"/>
      <c r="O3" s="42"/>
    </row>
    <row r="4" spans="1:17" ht="16.95" customHeight="1" thickBot="1" x14ac:dyDescent="0.35">
      <c r="A4" s="4">
        <v>2003</v>
      </c>
      <c r="B4" s="5" t="s">
        <v>78</v>
      </c>
      <c r="C4" s="5" t="s">
        <v>73</v>
      </c>
      <c r="D4" s="5" t="s">
        <v>79</v>
      </c>
      <c r="E4" s="26">
        <v>23672</v>
      </c>
      <c r="F4" s="12">
        <v>44957</v>
      </c>
      <c r="G4" s="17" t="str">
        <f t="shared" si="0"/>
        <v>10% Discount</v>
      </c>
      <c r="H4" s="17" t="str">
        <f t="shared" ref="H4:H21" si="1">IF(OR(B4="Keyboard", E4&gt;10000), "Eligible", "Not Eligible")</f>
        <v>Eligible</v>
      </c>
    </row>
    <row r="5" spans="1:17" ht="16.95" customHeight="1" thickBot="1" x14ac:dyDescent="0.35">
      <c r="A5" s="4">
        <v>2004</v>
      </c>
      <c r="B5" s="5" t="s">
        <v>75</v>
      </c>
      <c r="C5" s="5" t="s">
        <v>80</v>
      </c>
      <c r="D5" s="5" t="s">
        <v>81</v>
      </c>
      <c r="E5" s="26">
        <v>5264</v>
      </c>
      <c r="F5" s="12">
        <v>44972</v>
      </c>
      <c r="G5" s="17" t="str">
        <f t="shared" si="0"/>
        <v>No Discount</v>
      </c>
      <c r="H5" s="17" t="str">
        <f t="shared" si="1"/>
        <v>Not Eligible</v>
      </c>
      <c r="K5" s="4">
        <v>2003</v>
      </c>
      <c r="L5" s="24">
        <f>VLOOKUP(K5,A2:H21,5,FALSE)</f>
        <v>23672</v>
      </c>
    </row>
    <row r="6" spans="1:17" ht="16.95" customHeight="1" thickBot="1" x14ac:dyDescent="0.35">
      <c r="A6" s="4">
        <v>2005</v>
      </c>
      <c r="B6" s="5" t="s">
        <v>72</v>
      </c>
      <c r="C6" s="5" t="s">
        <v>82</v>
      </c>
      <c r="D6" s="5" t="s">
        <v>83</v>
      </c>
      <c r="E6" s="26">
        <v>43388</v>
      </c>
      <c r="F6" s="12">
        <v>44987</v>
      </c>
      <c r="G6" s="17" t="str">
        <f t="shared" si="0"/>
        <v>20% Discount</v>
      </c>
      <c r="H6" s="17" t="str">
        <f t="shared" si="1"/>
        <v>Eligible</v>
      </c>
    </row>
    <row r="7" spans="1:17" ht="16.95" customHeight="1" thickBot="1" x14ac:dyDescent="0.35">
      <c r="A7" s="4">
        <v>2006</v>
      </c>
      <c r="B7" s="5" t="s">
        <v>78</v>
      </c>
      <c r="C7" s="5" t="s">
        <v>82</v>
      </c>
      <c r="D7" s="5" t="s">
        <v>84</v>
      </c>
      <c r="E7" s="26">
        <v>19757</v>
      </c>
      <c r="F7" s="12">
        <v>45002</v>
      </c>
      <c r="G7" s="17" t="str">
        <f t="shared" si="0"/>
        <v>5% Discount</v>
      </c>
      <c r="H7" s="17" t="str">
        <f t="shared" si="1"/>
        <v>Eligible</v>
      </c>
    </row>
    <row r="8" spans="1:17" ht="16.95" customHeight="1" thickBot="1" x14ac:dyDescent="0.35">
      <c r="A8" s="4">
        <v>2007</v>
      </c>
      <c r="B8" s="5" t="s">
        <v>78</v>
      </c>
      <c r="C8" s="5" t="s">
        <v>80</v>
      </c>
      <c r="D8" s="5" t="s">
        <v>85</v>
      </c>
      <c r="E8" s="26">
        <v>32058</v>
      </c>
      <c r="F8" s="12">
        <v>45017</v>
      </c>
      <c r="G8" s="17" t="str">
        <f t="shared" si="0"/>
        <v>10% Discount</v>
      </c>
      <c r="H8" s="17" t="str">
        <f t="shared" si="1"/>
        <v>Eligible</v>
      </c>
      <c r="K8" s="35" t="s">
        <v>143</v>
      </c>
      <c r="L8" s="36"/>
      <c r="M8" s="36"/>
      <c r="N8" s="36"/>
      <c r="O8" s="36"/>
    </row>
    <row r="9" spans="1:17" ht="16.95" customHeight="1" thickBot="1" x14ac:dyDescent="0.35">
      <c r="A9" s="4">
        <v>2008</v>
      </c>
      <c r="B9" s="5" t="s">
        <v>72</v>
      </c>
      <c r="C9" s="5" t="s">
        <v>80</v>
      </c>
      <c r="D9" s="5" t="s">
        <v>86</v>
      </c>
      <c r="E9" s="26">
        <v>46429</v>
      </c>
      <c r="F9" s="12">
        <v>45032</v>
      </c>
      <c r="G9" s="17" t="str">
        <f t="shared" si="0"/>
        <v>20% Discount</v>
      </c>
      <c r="H9" s="17" t="str">
        <f t="shared" si="1"/>
        <v>Eligible</v>
      </c>
    </row>
    <row r="10" spans="1:17" ht="16.95" customHeight="1" thickBot="1" x14ac:dyDescent="0.35">
      <c r="A10" s="4">
        <v>2009</v>
      </c>
      <c r="B10" s="5" t="s">
        <v>75</v>
      </c>
      <c r="C10" s="5" t="s">
        <v>80</v>
      </c>
      <c r="D10" s="5" t="s">
        <v>87</v>
      </c>
      <c r="E10" s="26">
        <v>19746</v>
      </c>
      <c r="F10" s="12">
        <v>45047</v>
      </c>
      <c r="G10" s="17" t="str">
        <f t="shared" si="0"/>
        <v>5% Discount</v>
      </c>
      <c r="H10" s="17" t="str">
        <f t="shared" si="1"/>
        <v>Eligible</v>
      </c>
      <c r="K10" s="40" t="s">
        <v>144</v>
      </c>
      <c r="L10" s="41"/>
      <c r="M10" s="41"/>
      <c r="N10" s="41"/>
      <c r="O10" s="41"/>
      <c r="P10" s="41"/>
      <c r="Q10" s="42"/>
    </row>
    <row r="11" spans="1:17" ht="16.95" customHeight="1" thickBot="1" x14ac:dyDescent="0.35">
      <c r="A11" s="4">
        <v>2010</v>
      </c>
      <c r="B11" s="5" t="s">
        <v>72</v>
      </c>
      <c r="C11" s="5" t="s">
        <v>73</v>
      </c>
      <c r="D11" s="5" t="s">
        <v>88</v>
      </c>
      <c r="E11" s="26">
        <v>35185</v>
      </c>
      <c r="F11" s="12">
        <v>45062</v>
      </c>
      <c r="G11" s="17" t="str">
        <f t="shared" si="0"/>
        <v>10% Discount</v>
      </c>
      <c r="H11" s="17" t="str">
        <f t="shared" si="1"/>
        <v>Eligible</v>
      </c>
    </row>
    <row r="12" spans="1:17" ht="16.95" customHeight="1" thickBot="1" x14ac:dyDescent="0.35">
      <c r="A12" s="4">
        <v>2011</v>
      </c>
      <c r="B12" s="5" t="s">
        <v>72</v>
      </c>
      <c r="C12" s="5" t="s">
        <v>80</v>
      </c>
      <c r="D12" s="5" t="s">
        <v>89</v>
      </c>
      <c r="E12" s="26">
        <v>33920</v>
      </c>
      <c r="F12" s="12">
        <v>45077</v>
      </c>
      <c r="G12" s="17" t="str">
        <f t="shared" si="0"/>
        <v>10% Discount</v>
      </c>
      <c r="H12" s="17" t="str">
        <f t="shared" si="1"/>
        <v>Eligible</v>
      </c>
      <c r="K12" s="5" t="s">
        <v>81</v>
      </c>
      <c r="L12" s="24">
        <f>INDEX($E$2:$E$21, MATCH(K12, $D$2:$D$21, 0))</f>
        <v>5264</v>
      </c>
    </row>
    <row r="13" spans="1:17" ht="16.95" customHeight="1" thickBot="1" x14ac:dyDescent="0.35">
      <c r="A13" s="4">
        <v>2012</v>
      </c>
      <c r="B13" s="5" t="s">
        <v>90</v>
      </c>
      <c r="C13" s="5" t="s">
        <v>82</v>
      </c>
      <c r="D13" s="5" t="s">
        <v>91</v>
      </c>
      <c r="E13" s="26">
        <v>35611</v>
      </c>
      <c r="F13" s="12">
        <v>45092</v>
      </c>
      <c r="G13" s="17" t="str">
        <f t="shared" si="0"/>
        <v>10% Discount</v>
      </c>
      <c r="H13" s="17" t="str">
        <f t="shared" si="1"/>
        <v>Eligible</v>
      </c>
    </row>
    <row r="14" spans="1:17" ht="16.95" customHeight="1" thickBot="1" x14ac:dyDescent="0.35">
      <c r="A14" s="4">
        <v>2013</v>
      </c>
      <c r="B14" s="5" t="s">
        <v>92</v>
      </c>
      <c r="C14" s="5" t="s">
        <v>80</v>
      </c>
      <c r="D14" s="5" t="s">
        <v>93</v>
      </c>
      <c r="E14" s="26">
        <v>15560</v>
      </c>
      <c r="F14" s="12">
        <v>45107</v>
      </c>
      <c r="G14" s="17" t="str">
        <f t="shared" si="0"/>
        <v>5% Discount</v>
      </c>
      <c r="H14" s="17" t="str">
        <f t="shared" si="1"/>
        <v>Eligible</v>
      </c>
    </row>
    <row r="15" spans="1:17" ht="16.95" customHeight="1" thickBot="1" x14ac:dyDescent="0.35">
      <c r="A15" s="4">
        <v>2014</v>
      </c>
      <c r="B15" s="5" t="s">
        <v>92</v>
      </c>
      <c r="C15" s="5" t="s">
        <v>73</v>
      </c>
      <c r="D15" s="5" t="s">
        <v>94</v>
      </c>
      <c r="E15" s="26">
        <v>7283</v>
      </c>
      <c r="F15" s="12">
        <v>45122</v>
      </c>
      <c r="G15" s="17" t="str">
        <f t="shared" si="0"/>
        <v>No Discount</v>
      </c>
      <c r="H15" s="17" t="str">
        <f t="shared" si="1"/>
        <v>Not Eligible</v>
      </c>
      <c r="K15" s="35" t="s">
        <v>150</v>
      </c>
      <c r="L15" s="36"/>
      <c r="M15" s="36"/>
      <c r="N15" s="36"/>
      <c r="O15" s="36"/>
      <c r="P15" s="36"/>
    </row>
    <row r="16" spans="1:17" ht="16.95" customHeight="1" thickBot="1" x14ac:dyDescent="0.35">
      <c r="A16" s="4">
        <v>2015</v>
      </c>
      <c r="B16" s="5" t="s">
        <v>92</v>
      </c>
      <c r="C16" s="5" t="s">
        <v>80</v>
      </c>
      <c r="D16" s="5" t="s">
        <v>95</v>
      </c>
      <c r="E16" s="26">
        <v>15678</v>
      </c>
      <c r="F16" s="12">
        <v>45137</v>
      </c>
      <c r="G16" s="17" t="str">
        <f t="shared" si="0"/>
        <v>5% Discount</v>
      </c>
      <c r="H16" s="17" t="str">
        <f t="shared" si="1"/>
        <v>Eligible</v>
      </c>
    </row>
    <row r="17" spans="1:17" ht="16.95" customHeight="1" thickBot="1" x14ac:dyDescent="0.35">
      <c r="A17" s="4">
        <v>2016</v>
      </c>
      <c r="B17" s="5" t="s">
        <v>78</v>
      </c>
      <c r="C17" s="5" t="s">
        <v>80</v>
      </c>
      <c r="D17" s="5" t="s">
        <v>96</v>
      </c>
      <c r="E17" s="26">
        <v>5277</v>
      </c>
      <c r="F17" s="12">
        <v>45152</v>
      </c>
      <c r="G17" s="17" t="str">
        <f t="shared" si="0"/>
        <v>No Discount</v>
      </c>
      <c r="H17" s="17" t="str">
        <f t="shared" si="1"/>
        <v>Not Eligible</v>
      </c>
      <c r="K17" s="5" t="s">
        <v>78</v>
      </c>
      <c r="L17">
        <f>_xlfn.XMATCH(K17,B2:B21,0,1)</f>
        <v>3</v>
      </c>
    </row>
    <row r="18" spans="1:17" ht="16.95" customHeight="1" thickBot="1" x14ac:dyDescent="0.35">
      <c r="A18" s="4">
        <v>2017</v>
      </c>
      <c r="B18" s="5" t="s">
        <v>90</v>
      </c>
      <c r="C18" s="5" t="s">
        <v>82</v>
      </c>
      <c r="D18" s="5" t="s">
        <v>97</v>
      </c>
      <c r="E18" s="26">
        <v>41871</v>
      </c>
      <c r="F18" s="12">
        <v>45167</v>
      </c>
      <c r="G18" s="17" t="str">
        <f t="shared" si="0"/>
        <v>20% Discount</v>
      </c>
      <c r="H18" s="17" t="str">
        <f t="shared" si="1"/>
        <v>Eligible</v>
      </c>
    </row>
    <row r="19" spans="1:17" ht="16.95" customHeight="1" thickBot="1" x14ac:dyDescent="0.35">
      <c r="A19" s="4">
        <v>2018</v>
      </c>
      <c r="B19" s="5" t="s">
        <v>90</v>
      </c>
      <c r="C19" s="5" t="s">
        <v>76</v>
      </c>
      <c r="D19" s="5" t="s">
        <v>98</v>
      </c>
      <c r="E19" s="26">
        <v>38161</v>
      </c>
      <c r="F19" s="12">
        <v>45182</v>
      </c>
      <c r="G19" s="17" t="str">
        <f t="shared" si="0"/>
        <v>10% Discount</v>
      </c>
      <c r="H19" s="17" t="str">
        <f t="shared" si="1"/>
        <v>Eligible</v>
      </c>
      <c r="K19" s="35" t="s">
        <v>151</v>
      </c>
      <c r="L19" s="36"/>
      <c r="M19" s="36"/>
      <c r="N19" s="36"/>
    </row>
    <row r="20" spans="1:17" ht="16.95" customHeight="1" thickBot="1" x14ac:dyDescent="0.35">
      <c r="A20" s="4">
        <v>2019</v>
      </c>
      <c r="B20" s="5" t="s">
        <v>78</v>
      </c>
      <c r="C20" s="5" t="s">
        <v>76</v>
      </c>
      <c r="D20" s="5" t="s">
        <v>99</v>
      </c>
      <c r="E20" s="26">
        <v>30436</v>
      </c>
      <c r="F20" s="12">
        <v>45197</v>
      </c>
      <c r="G20" s="17" t="str">
        <f t="shared" si="0"/>
        <v>10% Discount</v>
      </c>
      <c r="H20" s="17" t="str">
        <f t="shared" si="1"/>
        <v>Eligible</v>
      </c>
      <c r="K20" s="37" t="s">
        <v>153</v>
      </c>
      <c r="L20" s="38"/>
      <c r="M20" s="38"/>
      <c r="N20" s="38"/>
      <c r="O20" s="38"/>
      <c r="P20" s="38"/>
      <c r="Q20" s="38"/>
    </row>
    <row r="21" spans="1:17" ht="16.95" customHeight="1" thickBot="1" x14ac:dyDescent="0.35">
      <c r="A21" s="4">
        <v>2020</v>
      </c>
      <c r="B21" s="5" t="s">
        <v>75</v>
      </c>
      <c r="C21" s="5" t="s">
        <v>76</v>
      </c>
      <c r="D21" s="5" t="s">
        <v>100</v>
      </c>
      <c r="E21" s="26">
        <v>33953</v>
      </c>
      <c r="F21" s="12">
        <v>45212</v>
      </c>
      <c r="G21" s="17" t="str">
        <f t="shared" si="0"/>
        <v>10% Discount</v>
      </c>
      <c r="H21" s="17" t="str">
        <f t="shared" si="1"/>
        <v>Eligible</v>
      </c>
    </row>
    <row r="22" spans="1:17" ht="15" thickBot="1" x14ac:dyDescent="0.35">
      <c r="K22" s="26" t="s">
        <v>154</v>
      </c>
      <c r="L22" cm="1">
        <f t="array" aca="1" ref="L22" ca="1">INDIRECT(K22)</f>
        <v>17428</v>
      </c>
    </row>
    <row r="24" spans="1:17" ht="15" thickBot="1" x14ac:dyDescent="0.35">
      <c r="A24" s="43" t="s">
        <v>132</v>
      </c>
      <c r="B24" s="43"/>
      <c r="C24" s="43"/>
      <c r="D24" s="43"/>
      <c r="E24" s="43"/>
      <c r="F24" s="43"/>
    </row>
    <row r="25" spans="1:17" ht="15" thickBot="1" x14ac:dyDescent="0.35">
      <c r="B25" s="5" t="s">
        <v>133</v>
      </c>
      <c r="C25" s="5" t="s">
        <v>80</v>
      </c>
      <c r="D25" s="5" t="s">
        <v>76</v>
      </c>
      <c r="E25" s="5" t="s">
        <v>82</v>
      </c>
      <c r="F25" s="5" t="s">
        <v>73</v>
      </c>
      <c r="K25" s="35" t="s">
        <v>155</v>
      </c>
      <c r="L25" s="36"/>
      <c r="M25" s="36"/>
      <c r="N25" s="36"/>
    </row>
    <row r="26" spans="1:17" ht="15" thickBot="1" x14ac:dyDescent="0.35">
      <c r="B26" s="5" t="s">
        <v>72</v>
      </c>
      <c r="C26" s="5">
        <f>SUMIFS($E$2:$E$21,$C$2:$C$21,$C$10,$B$2:$B$21,B2)</f>
        <v>80349</v>
      </c>
      <c r="D26" s="5">
        <f>SUMIFS($E$2:$E$21,$C$2:$C$21,$C$21,$B$2:$B$21,B2)</f>
        <v>0</v>
      </c>
      <c r="E26" s="5">
        <f>SUMIFS($E$2:$E$21,$C$2:$C$21,$C$18,$B$2:$B$21,B2)</f>
        <v>43388</v>
      </c>
      <c r="F26" s="5">
        <f>SUMIFS($E$2:$E$21,$C$2:$C$21,$C$15,$B$2:$B$21,B2)</f>
        <v>42233</v>
      </c>
      <c r="K26" s="37" t="s">
        <v>32</v>
      </c>
      <c r="L26" s="38"/>
      <c r="M26" s="38"/>
      <c r="N26" s="38"/>
      <c r="O26" s="38"/>
      <c r="P26" s="38"/>
      <c r="Q26" s="38"/>
    </row>
    <row r="27" spans="1:17" ht="15" thickBot="1" x14ac:dyDescent="0.35">
      <c r="B27" s="5" t="s">
        <v>75</v>
      </c>
      <c r="C27" s="5">
        <f t="shared" ref="C27:C30" si="2">SUMIFS($E$2:$E$21,$C$2:$C$21,$C$10,$B$2:$B$21,B3)</f>
        <v>25010</v>
      </c>
      <c r="D27" s="5">
        <f t="shared" ref="D27:D30" si="3">SUMIFS($E$2:$E$21,$C$2:$C$21,$C$21,$B$2:$B$21,B3)</f>
        <v>51381</v>
      </c>
      <c r="E27" s="5">
        <f t="shared" ref="E27:E30" si="4">SUMIFS($E$2:$E$21,$C$2:$C$21,$C$18,$B$2:$B$21,B3)</f>
        <v>0</v>
      </c>
      <c r="F27" s="5">
        <f t="shared" ref="F27:F30" si="5">SUMIFS($E$2:$E$21,$C$2:$C$21,$C$15,$B$2:$B$21,B3)</f>
        <v>0</v>
      </c>
    </row>
    <row r="28" spans="1:17" ht="15" thickBot="1" x14ac:dyDescent="0.35">
      <c r="B28" s="5" t="s">
        <v>78</v>
      </c>
      <c r="C28" s="5">
        <f t="shared" si="2"/>
        <v>37335</v>
      </c>
      <c r="D28" s="5">
        <f t="shared" si="3"/>
        <v>30436</v>
      </c>
      <c r="E28" s="5">
        <f t="shared" si="4"/>
        <v>19757</v>
      </c>
      <c r="F28" s="5">
        <f t="shared" si="5"/>
        <v>23672</v>
      </c>
      <c r="L28">
        <f ca="1">SUM(OFFSET(E2, 0, 0, 5, 1))</f>
        <v>96800</v>
      </c>
    </row>
    <row r="29" spans="1:17" ht="15" thickBot="1" x14ac:dyDescent="0.35">
      <c r="B29" s="5" t="s">
        <v>90</v>
      </c>
      <c r="C29" s="5">
        <f t="shared" si="2"/>
        <v>25010</v>
      </c>
      <c r="D29" s="5">
        <f t="shared" si="3"/>
        <v>51381</v>
      </c>
      <c r="E29" s="5">
        <f t="shared" si="4"/>
        <v>0</v>
      </c>
      <c r="F29" s="5">
        <f t="shared" si="5"/>
        <v>0</v>
      </c>
    </row>
    <row r="30" spans="1:17" ht="15" thickBot="1" x14ac:dyDescent="0.35">
      <c r="B30" s="5" t="s">
        <v>92</v>
      </c>
      <c r="C30" s="5">
        <f t="shared" si="2"/>
        <v>80349</v>
      </c>
      <c r="D30" s="5">
        <f t="shared" si="3"/>
        <v>0</v>
      </c>
      <c r="E30" s="5">
        <f t="shared" si="4"/>
        <v>43388</v>
      </c>
      <c r="F30" s="5">
        <f t="shared" si="5"/>
        <v>42233</v>
      </c>
    </row>
    <row r="31" spans="1:17" ht="15" thickBot="1" x14ac:dyDescent="0.35">
      <c r="B31" s="27" t="s">
        <v>145</v>
      </c>
      <c r="C31" s="27">
        <f>SUM(C26:C30)</f>
        <v>248053</v>
      </c>
      <c r="D31" s="27">
        <f t="shared" ref="D31:F31" si="6">SUM(D26:D30)</f>
        <v>133198</v>
      </c>
      <c r="E31" s="27">
        <f t="shared" si="6"/>
        <v>106533</v>
      </c>
      <c r="F31" s="27">
        <f t="shared" si="6"/>
        <v>108138</v>
      </c>
      <c r="K31" s="32" t="s">
        <v>33</v>
      </c>
      <c r="L31" s="33"/>
      <c r="M31" s="33"/>
      <c r="N31" s="33"/>
      <c r="O31" s="33"/>
    </row>
    <row r="32" spans="1:17" ht="15" thickBot="1" x14ac:dyDescent="0.35">
      <c r="K32" s="32" t="s">
        <v>156</v>
      </c>
      <c r="L32" s="33"/>
      <c r="M32" s="33"/>
      <c r="N32" s="33"/>
      <c r="O32" s="33"/>
      <c r="P32" s="33"/>
    </row>
    <row r="34" spans="11:17" x14ac:dyDescent="0.3">
      <c r="K34">
        <f>DATEDIF(F2,F3,"D")</f>
        <v>15</v>
      </c>
    </row>
    <row r="35" spans="11:17" ht="15" thickBot="1" x14ac:dyDescent="0.35"/>
    <row r="36" spans="11:17" ht="15" thickBot="1" x14ac:dyDescent="0.35">
      <c r="K36" s="32" t="s">
        <v>149</v>
      </c>
      <c r="L36" s="33"/>
      <c r="M36" s="33"/>
      <c r="N36" s="34"/>
    </row>
    <row r="37" spans="11:17" ht="15" thickBot="1" x14ac:dyDescent="0.35">
      <c r="K37" s="32" t="s">
        <v>25</v>
      </c>
      <c r="L37" s="33"/>
      <c r="M37" s="33"/>
      <c r="N37" s="33"/>
      <c r="O37" s="33"/>
      <c r="P37" s="33"/>
      <c r="Q37" s="33"/>
    </row>
    <row r="38" spans="11:17" ht="15" thickBot="1" x14ac:dyDescent="0.35">
      <c r="K38" s="5" t="s">
        <v>81</v>
      </c>
      <c r="L38">
        <f>_xlfn.XLOOKUP(K38,$D$2:$D$21,E2:E21,"no person",0,1)</f>
        <v>5264</v>
      </c>
    </row>
  </sheetData>
  <mergeCells count="14">
    <mergeCell ref="K36:N36"/>
    <mergeCell ref="K37:Q37"/>
    <mergeCell ref="K31:O31"/>
    <mergeCell ref="K32:P32"/>
    <mergeCell ref="K25:N25"/>
    <mergeCell ref="K26:Q26"/>
    <mergeCell ref="A24:F24"/>
    <mergeCell ref="K19:N19"/>
    <mergeCell ref="K20:Q20"/>
    <mergeCell ref="K2:N2"/>
    <mergeCell ref="K3:O3"/>
    <mergeCell ref="K8:O8"/>
    <mergeCell ref="K10:Q10"/>
    <mergeCell ref="K15:P1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7C9E0-4055-48BE-8E9B-9DB4CC78A277}">
  <dimension ref="A1:M25"/>
  <sheetViews>
    <sheetView zoomScale="80" workbookViewId="0">
      <selection activeCell="I14" sqref="I14"/>
    </sheetView>
  </sheetViews>
  <sheetFormatPr defaultRowHeight="14.4" x14ac:dyDescent="0.3"/>
  <cols>
    <col min="1" max="1" width="13.88671875" customWidth="1"/>
    <col min="2" max="2" width="12.21875" customWidth="1"/>
    <col min="3" max="3" width="10.5546875" customWidth="1"/>
    <col min="4" max="4" width="12.77734375" bestFit="1" customWidth="1"/>
    <col min="5" max="5" width="18.109375" customWidth="1"/>
    <col min="7" max="7" width="11.33203125" bestFit="1" customWidth="1"/>
    <col min="13" max="13" width="9.5546875" customWidth="1"/>
  </cols>
  <sheetData>
    <row r="1" spans="1:13" ht="15" thickBot="1" x14ac:dyDescent="0.35">
      <c r="A1" s="7" t="s">
        <v>101</v>
      </c>
      <c r="B1" s="6" t="s">
        <v>41</v>
      </c>
      <c r="C1" s="6" t="s">
        <v>102</v>
      </c>
      <c r="D1" s="6" t="s">
        <v>103</v>
      </c>
      <c r="E1" s="6" t="s">
        <v>104</v>
      </c>
    </row>
    <row r="2" spans="1:13" ht="15" thickBot="1" x14ac:dyDescent="0.35">
      <c r="A2" s="8">
        <v>3001</v>
      </c>
      <c r="B2" s="9" t="s">
        <v>105</v>
      </c>
      <c r="C2" s="9" t="s">
        <v>106</v>
      </c>
      <c r="D2" s="11">
        <v>86766</v>
      </c>
      <c r="E2" s="10">
        <v>42005</v>
      </c>
      <c r="G2" s="32" t="s">
        <v>143</v>
      </c>
      <c r="H2" s="33"/>
      <c r="I2" s="33"/>
      <c r="J2" s="34"/>
    </row>
    <row r="3" spans="1:13" ht="15" thickBot="1" x14ac:dyDescent="0.35">
      <c r="A3" s="8">
        <v>3002</v>
      </c>
      <c r="B3" s="9" t="s">
        <v>107</v>
      </c>
      <c r="C3" s="9" t="s">
        <v>106</v>
      </c>
      <c r="D3" s="11">
        <v>31943</v>
      </c>
      <c r="E3" s="10">
        <v>42255</v>
      </c>
      <c r="G3" s="32" t="s">
        <v>20</v>
      </c>
      <c r="H3" s="33"/>
      <c r="I3" s="33"/>
      <c r="J3" s="33"/>
      <c r="K3" s="33"/>
      <c r="L3" s="33"/>
      <c r="M3" s="34"/>
    </row>
    <row r="4" spans="1:13" ht="15" thickBot="1" x14ac:dyDescent="0.35">
      <c r="A4" s="8">
        <v>3003</v>
      </c>
      <c r="B4" s="9" t="s">
        <v>108</v>
      </c>
      <c r="C4" s="9" t="s">
        <v>109</v>
      </c>
      <c r="D4" s="11">
        <v>63374</v>
      </c>
      <c r="E4" s="10">
        <v>42505</v>
      </c>
    </row>
    <row r="5" spans="1:13" ht="15" thickBot="1" x14ac:dyDescent="0.35">
      <c r="A5" s="8">
        <v>3004</v>
      </c>
      <c r="B5" s="9" t="s">
        <v>110</v>
      </c>
      <c r="C5" s="9" t="s">
        <v>106</v>
      </c>
      <c r="D5" s="11">
        <v>109972</v>
      </c>
      <c r="E5" s="10">
        <v>42755</v>
      </c>
    </row>
    <row r="6" spans="1:13" ht="15" thickBot="1" x14ac:dyDescent="0.35">
      <c r="A6" s="8">
        <v>3005</v>
      </c>
      <c r="B6" s="9" t="s">
        <v>111</v>
      </c>
      <c r="C6" s="9" t="s">
        <v>112</v>
      </c>
      <c r="D6" s="11">
        <v>54149</v>
      </c>
      <c r="E6" s="10">
        <v>43005</v>
      </c>
      <c r="G6" s="8">
        <v>3003</v>
      </c>
      <c r="H6" t="str">
        <f>INDEX($C$2:$C$21,MATCH(G6,$A$2:$A$21,0))</f>
        <v>HR</v>
      </c>
    </row>
    <row r="7" spans="1:13" ht="15" thickBot="1" x14ac:dyDescent="0.35">
      <c r="A7" s="8">
        <v>3006</v>
      </c>
      <c r="B7" s="9" t="s">
        <v>113</v>
      </c>
      <c r="C7" s="9" t="s">
        <v>112</v>
      </c>
      <c r="D7" s="11">
        <v>78689</v>
      </c>
      <c r="E7" s="10">
        <v>43255</v>
      </c>
    </row>
    <row r="8" spans="1:13" ht="15" thickBot="1" x14ac:dyDescent="0.35">
      <c r="A8" s="8">
        <v>3007</v>
      </c>
      <c r="B8" s="9" t="s">
        <v>114</v>
      </c>
      <c r="C8" s="9" t="s">
        <v>115</v>
      </c>
      <c r="D8" s="11">
        <v>35960</v>
      </c>
      <c r="E8" s="10">
        <v>43505</v>
      </c>
    </row>
    <row r="9" spans="1:13" ht="15" thickBot="1" x14ac:dyDescent="0.35">
      <c r="A9" s="8">
        <v>3008</v>
      </c>
      <c r="B9" s="9" t="s">
        <v>116</v>
      </c>
      <c r="C9" s="9" t="s">
        <v>112</v>
      </c>
      <c r="D9" s="11">
        <v>91659</v>
      </c>
      <c r="E9" s="10">
        <v>43755</v>
      </c>
      <c r="G9" s="32" t="s">
        <v>149</v>
      </c>
      <c r="H9" s="33"/>
      <c r="I9" s="33"/>
      <c r="J9" s="34"/>
    </row>
    <row r="10" spans="1:13" ht="15" thickBot="1" x14ac:dyDescent="0.35">
      <c r="A10" s="8">
        <v>3009</v>
      </c>
      <c r="B10" s="9" t="s">
        <v>117</v>
      </c>
      <c r="C10" s="9" t="s">
        <v>112</v>
      </c>
      <c r="D10" s="11">
        <v>90423</v>
      </c>
      <c r="E10" s="10">
        <v>44005</v>
      </c>
      <c r="G10" s="32" t="s">
        <v>26</v>
      </c>
      <c r="H10" s="33"/>
      <c r="I10" s="33"/>
      <c r="J10" s="33"/>
      <c r="K10" s="33"/>
      <c r="L10" s="33"/>
    </row>
    <row r="11" spans="1:13" ht="15" thickBot="1" x14ac:dyDescent="0.35">
      <c r="A11" s="8">
        <v>3010</v>
      </c>
      <c r="B11" s="9" t="s">
        <v>118</v>
      </c>
      <c r="C11" s="9" t="s">
        <v>109</v>
      </c>
      <c r="D11" s="11">
        <v>107877</v>
      </c>
      <c r="E11" s="10">
        <v>44255</v>
      </c>
      <c r="G11">
        <f>_xlfn.XLOOKUP(B2,B2:B21,D2:D21,"not found",0,1)</f>
        <v>86766</v>
      </c>
    </row>
    <row r="12" spans="1:13" ht="15" thickBot="1" x14ac:dyDescent="0.35">
      <c r="A12" s="8">
        <v>3011</v>
      </c>
      <c r="B12" s="9" t="s">
        <v>119</v>
      </c>
      <c r="C12" s="9" t="s">
        <v>106</v>
      </c>
      <c r="D12" s="11">
        <v>107634</v>
      </c>
      <c r="E12" s="10">
        <v>44505</v>
      </c>
    </row>
    <row r="13" spans="1:13" ht="15" thickBot="1" x14ac:dyDescent="0.35">
      <c r="A13" s="8">
        <v>3012</v>
      </c>
      <c r="B13" s="9" t="s">
        <v>120</v>
      </c>
      <c r="C13" s="9" t="s">
        <v>106</v>
      </c>
      <c r="D13" s="11">
        <v>35226</v>
      </c>
      <c r="E13" s="10">
        <v>44755</v>
      </c>
    </row>
    <row r="14" spans="1:13" ht="15" thickBot="1" x14ac:dyDescent="0.35">
      <c r="A14" s="8">
        <v>3013</v>
      </c>
      <c r="B14" s="9" t="s">
        <v>121</v>
      </c>
      <c r="C14" s="9" t="s">
        <v>109</v>
      </c>
      <c r="D14" s="11">
        <v>40872</v>
      </c>
      <c r="E14" s="10">
        <v>45005</v>
      </c>
      <c r="G14" s="24"/>
    </row>
    <row r="15" spans="1:13" ht="15" thickBot="1" x14ac:dyDescent="0.35">
      <c r="A15" s="8">
        <v>3014</v>
      </c>
      <c r="B15" s="9" t="s">
        <v>122</v>
      </c>
      <c r="C15" s="9" t="s">
        <v>109</v>
      </c>
      <c r="D15" s="11">
        <v>55378</v>
      </c>
      <c r="E15" s="10">
        <v>45255</v>
      </c>
    </row>
    <row r="16" spans="1:13" ht="15" thickBot="1" x14ac:dyDescent="0.35">
      <c r="A16" s="8">
        <v>3015</v>
      </c>
      <c r="B16" s="9" t="s">
        <v>123</v>
      </c>
      <c r="C16" s="9" t="s">
        <v>109</v>
      </c>
      <c r="D16" s="11">
        <v>63297</v>
      </c>
      <c r="E16" s="10">
        <v>45505</v>
      </c>
    </row>
    <row r="17" spans="1:12" ht="15" thickBot="1" x14ac:dyDescent="0.35">
      <c r="A17" s="8">
        <v>3016</v>
      </c>
      <c r="B17" s="9" t="s">
        <v>124</v>
      </c>
      <c r="C17" s="9" t="s">
        <v>106</v>
      </c>
      <c r="D17" s="11">
        <v>114173</v>
      </c>
      <c r="E17" s="10">
        <v>45755</v>
      </c>
      <c r="G17" s="32" t="s">
        <v>157</v>
      </c>
      <c r="H17" s="33"/>
      <c r="I17" s="33"/>
      <c r="J17" s="33"/>
      <c r="K17" s="33"/>
    </row>
    <row r="18" spans="1:12" ht="15" thickBot="1" x14ac:dyDescent="0.35">
      <c r="A18" s="8">
        <v>3017</v>
      </c>
      <c r="B18" s="9" t="s">
        <v>125</v>
      </c>
      <c r="C18" s="9" t="s">
        <v>109</v>
      </c>
      <c r="D18" s="11">
        <v>86915</v>
      </c>
      <c r="E18" s="10">
        <v>46005</v>
      </c>
      <c r="G18" s="32" t="s">
        <v>35</v>
      </c>
      <c r="H18" s="33"/>
      <c r="I18" s="33"/>
      <c r="J18" s="33"/>
      <c r="K18" s="33"/>
      <c r="L18" s="33"/>
    </row>
    <row r="19" spans="1:12" ht="15" thickBot="1" x14ac:dyDescent="0.35">
      <c r="A19" s="8">
        <v>3018</v>
      </c>
      <c r="B19" s="9" t="s">
        <v>126</v>
      </c>
      <c r="C19" s="9" t="s">
        <v>112</v>
      </c>
      <c r="D19" s="11">
        <v>116284</v>
      </c>
      <c r="E19" s="10">
        <v>46255</v>
      </c>
      <c r="G19">
        <f>DATEDIF(E2,E3,"M")</f>
        <v>8</v>
      </c>
    </row>
    <row r="20" spans="1:12" ht="15" thickBot="1" x14ac:dyDescent="0.35">
      <c r="A20" s="8">
        <v>3019</v>
      </c>
      <c r="B20" s="9" t="s">
        <v>127</v>
      </c>
      <c r="C20" s="9" t="s">
        <v>115</v>
      </c>
      <c r="D20" s="11">
        <v>116283</v>
      </c>
      <c r="E20" s="10">
        <v>46505</v>
      </c>
    </row>
    <row r="21" spans="1:12" ht="15" thickBot="1" x14ac:dyDescent="0.35">
      <c r="A21" s="8">
        <v>3020</v>
      </c>
      <c r="B21" s="9" t="s">
        <v>128</v>
      </c>
      <c r="C21" s="9" t="s">
        <v>115</v>
      </c>
      <c r="D21" s="11">
        <v>99924</v>
      </c>
      <c r="E21" s="10">
        <v>46755</v>
      </c>
      <c r="G21" s="32" t="s">
        <v>163</v>
      </c>
      <c r="H21" s="33"/>
      <c r="I21" s="33"/>
      <c r="J21" s="33"/>
      <c r="K21" s="33"/>
      <c r="L21" s="33"/>
    </row>
    <row r="22" spans="1:12" ht="15" thickBot="1" x14ac:dyDescent="0.35"/>
    <row r="23" spans="1:12" ht="15" thickBot="1" x14ac:dyDescent="0.35">
      <c r="A23" s="35" t="s">
        <v>151</v>
      </c>
      <c r="B23" s="36"/>
      <c r="C23" s="36"/>
      <c r="D23" s="36"/>
    </row>
    <row r="24" spans="1:12" ht="15" thickBot="1" x14ac:dyDescent="0.35">
      <c r="A24" s="37" t="s">
        <v>153</v>
      </c>
      <c r="B24" s="38"/>
      <c r="C24" s="38"/>
      <c r="D24" s="38"/>
      <c r="E24" s="38"/>
      <c r="F24" s="38"/>
      <c r="G24" s="38"/>
    </row>
    <row r="25" spans="1:12" x14ac:dyDescent="0.3">
      <c r="A25" t="s">
        <v>158</v>
      </c>
      <c r="B25" t="str" cm="1">
        <f t="array" aca="1" ref="B25" ca="1">INDIRECT(A25)</f>
        <v>Employee 4</v>
      </c>
    </row>
  </sheetData>
  <mergeCells count="9">
    <mergeCell ref="G18:L18"/>
    <mergeCell ref="A23:D23"/>
    <mergeCell ref="A24:G24"/>
    <mergeCell ref="G21:L21"/>
    <mergeCell ref="G2:J2"/>
    <mergeCell ref="G3:M3"/>
    <mergeCell ref="G9:J9"/>
    <mergeCell ref="G17:K17"/>
    <mergeCell ref="G10:L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Students Grade</vt:lpstr>
      <vt:lpstr>Sales Data</vt:lpstr>
      <vt:lpstr>Employee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Margi Shah</dc:creator>
  <cp:lastModifiedBy>Margi Shah</cp:lastModifiedBy>
  <dcterms:created xsi:type="dcterms:W3CDTF">2026-10-13T02:23:17Z</dcterms:created>
  <dcterms:modified xsi:type="dcterms:W3CDTF">2026-10-15T04:38:52Z</dcterms:modified>
</cp:coreProperties>
</file>