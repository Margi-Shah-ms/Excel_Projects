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d9897ff79158595/Desktop/"/>
    </mc:Choice>
  </mc:AlternateContent>
  <xr:revisionPtr revIDLastSave="591" documentId="11_DD76DAD8C12A68011DF7F428F8FB02160EBE4CFA" xr6:coauthVersionLast="47" xr6:coauthVersionMax="47" xr10:uidLastSave="{C3321A03-C04F-4061-9C84-E90E8E7C9783}"/>
  <bookViews>
    <workbookView xWindow="-108" yWindow="-108" windowWidth="23256" windowHeight="12456" activeTab="1" xr2:uid="{00000000-000D-0000-FFFF-FFFF00000000}"/>
  </bookViews>
  <sheets>
    <sheet name="Sheet1" sheetId="1" r:id="rId1"/>
    <sheet name="Tasks" sheetId="2" r:id="rId2"/>
    <sheet name="data analysis" sheetId="4" r:id="rId3"/>
    <sheet name="highvaluecus" sheetId="7" r:id="rId4"/>
    <sheet name="totalsales" sheetId="8" r:id="rId5"/>
    <sheet name="dashboard summary" sheetId="9" r:id="rId6"/>
  </sheets>
  <definedNames>
    <definedName name="_xlnm._FilterDatabase" localSheetId="3" hidden="1">highvaluecus!$A$1:$I$201</definedName>
    <definedName name="_xlnm._FilterDatabase" localSheetId="1" hidden="1">Tasks!$G$3:$G$203</definedName>
    <definedName name="solver_eng" localSheetId="1" hidden="1">1</definedName>
    <definedName name="solver_lin" localSheetId="1" hidden="1">0</definedName>
    <definedName name="solver_neg" localSheetId="1" hidden="1">1</definedName>
    <definedName name="solver_num" localSheetId="1" hidden="1">0</definedName>
    <definedName name="solver_opt" localSheetId="1" hidden="1">Tasks!$L$7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4" i="2"/>
  <c r="A4" i="2" a="1"/>
  <c r="L3" i="7"/>
  <c r="L1" i="7"/>
  <c r="M8" i="2"/>
  <c r="C43" i="4"/>
  <c r="N3" i="4"/>
  <c r="C51" i="4"/>
  <c r="C52" i="4"/>
  <c r="C53" i="4"/>
  <c r="C54" i="4"/>
  <c r="C55" i="4"/>
  <c r="C56" i="4"/>
  <c r="C57" i="4"/>
  <c r="C58" i="4"/>
  <c r="C44" i="4"/>
  <c r="C45" i="4"/>
  <c r="C46" i="4"/>
  <c r="C47" i="4"/>
  <c r="C48" i="4"/>
  <c r="C49" i="4"/>
  <c r="C50" i="4"/>
  <c r="K4" i="2"/>
  <c r="I4" i="2"/>
  <c r="L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<sst xmlns="http://schemas.openxmlformats.org/spreadsheetml/2006/main" count="1828" uniqueCount="164">
  <si>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</si>
  <si>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</si>
  <si>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</si>
  <si>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</si>
  <si>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</si>
  <si>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</si>
  <si>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</si>
  <si>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</si>
  <si>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</si>
  <si>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</si>
  <si>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</si>
  <si>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</si>
  <si>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</si>
  <si>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</si>
  <si>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</si>
  <si>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</si>
  <si>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</si>
  <si>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</si>
  <si>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</si>
  <si>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</si>
  <si>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</si>
  <si>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</si>
  <si>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</si>
  <si>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</si>
  <si>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</si>
  <si>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</si>
  <si>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</si>
  <si>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</si>
  <si>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</si>
  <si>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</si>
  <si>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</si>
  <si>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</si>
  <si>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</si>
  <si>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</si>
  <si>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</si>
  <si>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</si>
  <si>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</si>
  <si>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</si>
  <si>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</si>
  <si>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</si>
  <si>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</si>
  <si>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</si>
  <si>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</si>
  <si>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</si>
  <si>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</si>
  <si>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</si>
  <si>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</si>
  <si>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</si>
  <si>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</si>
  <si>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</si>
  <si>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</si>
  <si>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</si>
  <si>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</si>
  <si>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</si>
  <si>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</si>
  <si>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</si>
  <si>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</si>
  <si>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</si>
  <si>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</si>
  <si>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</si>
  <si>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</si>
  <si>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</si>
  <si>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</si>
  <si>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</si>
  <si>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</si>
  <si>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</si>
  <si>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</si>
  <si>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</si>
  <si>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</si>
  <si>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</si>
  <si>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</si>
  <si>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</si>
  <si>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</si>
  <si>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</si>
  <si>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</si>
  <si>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</si>
  <si>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1. Apply conditional formatting to highlight top 10
 customers based on total purchase.</t>
  </si>
  <si>
    <t>2. Perform WHAT IF Analysis to see impact of changing discount on total profit.</t>
  </si>
  <si>
    <t>total sales</t>
  </si>
  <si>
    <t>total profit</t>
  </si>
  <si>
    <t xml:space="preserve">3. Use Data Analysis Toolpak to run Linear Regression (Profit vs Sales).
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</si>
  <si>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</si>
  <si>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</si>
  <si>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</si>
  <si>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</si>
  <si>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</si>
  <si>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</si>
  <si>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</si>
  <si>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</si>
  <si>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</si>
  <si>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</si>
  <si>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</si>
  <si>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</si>
  <si>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</si>
  <si>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</si>
  <si>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</si>
  <si>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</si>
  <si>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</si>
  <si>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</si>
  <si>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</si>
  <si>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</si>
  <si>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</si>
  <si>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</si>
  <si>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</si>
  <si>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</si>
  <si>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</si>
  <si>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</si>
  <si>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</si>
  <si>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</si>
  <si>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</si>
  <si>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</si>
  <si>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</si>
  <si>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</si>
  <si>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</si>
  <si>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</si>
  <si>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</si>
  <si>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</si>
  <si>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5. Add up/down arrows on monthly sales growth.</t>
  </si>
  <si>
    <t>Row Labels</t>
  </si>
  <si>
    <t>Grand Total</t>
  </si>
  <si>
    <t>2024</t>
  </si>
  <si>
    <t>2025</t>
  </si>
  <si>
    <t>Sum of Sales</t>
  </si>
  <si>
    <t>6. Create a timestamp column using NOW().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</si>
  <si>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</si>
  <si>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</si>
  <si>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</si>
  <si>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</si>
  <si>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</si>
  <si>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</si>
  <si>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</si>
  <si>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</si>
  <si>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</si>
  <si>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</si>
  <si>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</si>
  <si>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</si>
  <si>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Timestamp</t>
  </si>
  <si>
    <t>highest purchase</t>
  </si>
  <si>
    <t>high-value customer</t>
  </si>
  <si>
    <t>customerid</t>
  </si>
  <si>
    <t>8. Create Pivot Table to analyze total sales by region and product.</t>
  </si>
  <si>
    <t>9. Create bar, line, and pie charts to visualize KPIs.</t>
  </si>
  <si>
    <t>Line Chart</t>
  </si>
  <si>
    <t>Bar Chart</t>
  </si>
  <si>
    <t>Pie Chart</t>
  </si>
  <si>
    <t>EXECUTIVE DASHBOARD INSIGHTS &amp; KEY PERFORMANCE INDICATORS</t>
  </si>
  <si>
    <t>Metric</t>
  </si>
  <si>
    <t>Key Finding</t>
  </si>
  <si>
    <t>Details / Revenue Impact</t>
  </si>
  <si>
    <t>Top Performing Region</t>
  </si>
  <si>
    <t>West Region</t>
  </si>
  <si>
    <t>Second Best Region</t>
  </si>
  <si>
    <t>Central Region</t>
  </si>
  <si>
    <t>Peak Sales Months</t>
  </si>
  <si>
    <t>April &amp; September</t>
  </si>
  <si>
    <t>Highest monthly surge in sales trend</t>
  </si>
  <si>
    <t>Lowest Sales Month</t>
  </si>
  <si>
    <t>August</t>
  </si>
  <si>
    <t>KPI Summary Table</t>
  </si>
  <si>
    <r>
      <t xml:space="preserve">Total Sales: </t>
    </r>
    <r>
      <rPr>
        <b/>
        <sz val="11"/>
        <color theme="1"/>
        <rFont val="Calibri"/>
        <family val="2"/>
        <scheme val="minor"/>
      </rPr>
      <t>$44,083.58</t>
    </r>
    <r>
      <rPr>
        <sz val="11"/>
        <color theme="1"/>
        <rFont val="Calibri"/>
        <family val="2"/>
        <scheme val="minor"/>
      </rPr>
      <t xml:space="preserve"> (Highest Share)</t>
    </r>
  </si>
  <si>
    <r>
      <t xml:space="preserve">Total Sales: </t>
    </r>
    <r>
      <rPr>
        <b/>
        <sz val="11"/>
        <color theme="1"/>
        <rFont val="Calibri"/>
        <family val="2"/>
        <scheme val="minor"/>
      </rPr>
      <t>$43,468.33</t>
    </r>
  </si>
  <si>
    <r>
      <t xml:space="preserve">Dip observed at </t>
    </r>
    <r>
      <rPr>
        <b/>
        <sz val="11"/>
        <color theme="1"/>
        <rFont val="Calibri"/>
        <family val="2"/>
        <scheme val="minor"/>
      </rPr>
      <t>$10,031.70</t>
    </r>
  </si>
  <si>
    <t>Detailed Business Insights (Detailed Block)</t>
  </si>
  <si>
    <t xml:space="preserve">  4. Use 'Descriptive Statistics' from Analysis Toolpak on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</si>
</sst>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/>
    <xf numFmtId="0" fontId="0" fillId="5" borderId="0" xfId="0" applyFill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0" xfId="0" applyNumberForma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6" fillId="4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 applyAlignment="1"/>
    <xf numFmtId="0" fontId="2" fillId="0" borderId="0" xfId="0" applyFont="1"/>
    <xf numFmtId="0" fontId="6" fillId="4" borderId="1" xfId="0" applyFont="1" applyFill="1" applyBorder="1"/>
    <xf numFmtId="22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/>
    <xf numFmtId="14" fontId="0" fillId="0" borderId="1" xfId="0" applyNumberFormat="1" applyBorder="1"/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6" fillId="6" borderId="1" xfId="0" applyFont="1" applyFill="1" applyBorder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9" fillId="10" borderId="1" xfId="0" applyFont="1" applyFill="1" applyBorder="1" applyAlignment="1">
      <alignment horizontal="left" vertical="top" wrapText="1"/>
    </xf>
    <xf numFmtId="0" fontId="6" fillId="8" borderId="0" xfId="0" applyFont="1" applyFill="1" applyAlignment="1">
      <alignment horizontal="center"/>
    </xf>
    <xf numFmtId="0" fontId="6" fillId="8" borderId="1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[Analyzer.xlsx]totalsales!PivotTable3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totalsales!$B$3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totalsales!$A$4:$A$34</c:f>
              <c:multiLvlStrCache>
                <c:ptCount val="25"/>
                <c:lvl>
                  <c:pt idx="0">
                    <c:v>Books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Books</c:v>
                  </c:pt>
                  <c:pt idx="6">
                    <c:v>Clothing</c:v>
                  </c:pt>
                  <c:pt idx="7">
                    <c:v>Electronics</c:v>
                  </c:pt>
                  <c:pt idx="8">
                    <c:v>Furniture</c:v>
                  </c:pt>
                  <c:pt idx="9">
                    <c:v>Office Supplies</c:v>
                  </c:pt>
                  <c:pt idx="10">
                    <c:v>Books</c:v>
                  </c:pt>
                  <c:pt idx="11">
                    <c:v>Clothing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Books</c:v>
                  </c:pt>
                  <c:pt idx="16">
                    <c:v>Clothing</c:v>
                  </c:pt>
                  <c:pt idx="17">
                    <c:v>Electronics</c:v>
                  </c:pt>
                  <c:pt idx="18">
                    <c:v>Furniture</c:v>
                  </c:pt>
                  <c:pt idx="19">
                    <c:v>Office Supplies</c:v>
                  </c:pt>
                  <c:pt idx="20">
                    <c:v>Books</c:v>
                  </c:pt>
                  <c:pt idx="21">
                    <c:v>Clothing</c:v>
                  </c:pt>
                  <c:pt idx="22">
                    <c:v>Electronics</c:v>
                  </c:pt>
                  <c:pt idx="23">
                    <c:v>Furniture</c:v>
                  </c:pt>
                  <c:pt idx="24">
                    <c:v>Office Supplies</c:v>
                  </c:pt>
                </c:lvl>
                <c:lvl>
                  <c:pt idx="0">
                    <c:v>Central</c:v>
                  </c:pt>
                  <c:pt idx="5">
                    <c:v>East</c:v>
                  </c:pt>
                  <c:pt idx="10">
                    <c:v>North</c:v>
                  </c:pt>
                  <c:pt idx="15">
                    <c:v>South</c:v>
                  </c:pt>
                  <c:pt idx="20">
                    <c:v>West</c:v>
                  </c:pt>
                </c:lvl>
              </c:multiLvlStrCache>
            </c:multiLvlStrRef>
          </c:cat>
          <c:val>
            <c:numRef>
              <c:f>totalsales!$B$4:$B$34</c:f>
              <c:numCache>
                <c:formatCode>General</c:formatCode>
                <c:ptCount val="25"/>
                <c:pt idx="0">
                  <c:v>11297.150000000001</c:v>
                </c:pt>
                <c:pt idx="1">
                  <c:v>12200.26</c:v>
                </c:pt>
                <c:pt idx="2">
                  <c:v>6621.24</c:v>
                </c:pt>
                <c:pt idx="3">
                  <c:v>4876.96</c:v>
                </c:pt>
                <c:pt idx="4">
                  <c:v>8472.7199999999993</c:v>
                </c:pt>
                <c:pt idx="5">
                  <c:v>11389.090000000002</c:v>
                </c:pt>
                <c:pt idx="6">
                  <c:v>2401.4499999999998</c:v>
                </c:pt>
                <c:pt idx="7">
                  <c:v>2869.54</c:v>
                </c:pt>
                <c:pt idx="8">
                  <c:v>7592.3399999999992</c:v>
                </c:pt>
                <c:pt idx="9">
                  <c:v>8189.2200000000012</c:v>
                </c:pt>
                <c:pt idx="10">
                  <c:v>8037.0100000000011</c:v>
                </c:pt>
                <c:pt idx="11">
                  <c:v>8422.82</c:v>
                </c:pt>
                <c:pt idx="12">
                  <c:v>8191.7099999999991</c:v>
                </c:pt>
                <c:pt idx="13">
                  <c:v>6978.08</c:v>
                </c:pt>
                <c:pt idx="14">
                  <c:v>3345.8</c:v>
                </c:pt>
                <c:pt idx="15">
                  <c:v>9588.0400000000009</c:v>
                </c:pt>
                <c:pt idx="16">
                  <c:v>8393.630000000001</c:v>
                </c:pt>
                <c:pt idx="17">
                  <c:v>11989.070000000003</c:v>
                </c:pt>
                <c:pt idx="18">
                  <c:v>7982.73</c:v>
                </c:pt>
                <c:pt idx="19">
                  <c:v>2295.3199999999997</c:v>
                </c:pt>
                <c:pt idx="20">
                  <c:v>6691.17</c:v>
                </c:pt>
                <c:pt idx="21">
                  <c:v>10509.429999999998</c:v>
                </c:pt>
                <c:pt idx="22">
                  <c:v>11372.44</c:v>
                </c:pt>
                <c:pt idx="23">
                  <c:v>9182.7800000000007</c:v>
                </c:pt>
                <c:pt idx="2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8-45D4-B756-E0B4046ED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9905839"/>
        <c:axId val="2034662927"/>
      </c:barChart>
      <c:catAx>
        <c:axId val="2699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62927"/>
        <c:crosses val="autoZero"/>
        <c:auto val="1"/>
        <c:lblAlgn val="ctr"/>
        <c:lblOffset val="100"/>
        <c:noMultiLvlLbl val="0"/>
      </c:catAx>
      <c:valAx>
        <c:axId val="20346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9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[Analyzer.xlsx]totalsales!PivotTable7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totalsales!$F$22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8B-42C5-824E-2EE9E49BCB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8B-42C5-824E-2EE9E49BCB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58B-42C5-824E-2EE9E49BCB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58B-42C5-824E-2EE9E49BCB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58B-42C5-824E-2EE9E49BCB1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totalsales!$E$23:$E$28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totalsales!$F$23:$F$28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3-4C87-8FF3-A4A25EB718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[Analyzer.xlsx]totalsales!PivotTable6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totalsales!$N$2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totalsales!$M$3:$M$15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totalsales!$N$3:$N$15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2-4ACA-A809-5C64854A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57231"/>
        <c:axId val="1855639439"/>
      </c:lineChart>
      <c:catAx>
        <c:axId val="412557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639439"/>
        <c:crosses val="autoZero"/>
        <c:auto val="1"/>
        <c:lblAlgn val="ctr"/>
        <c:lblOffset val="100"/>
        <c:noMultiLvlLbl val="0"/>
      </c:catAx>
      <c:valAx>
        <c:axId val="18556394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425261</xdr:colOff>
      <xdr:row>3</xdr:row>
      <xdr:rowOff>74174</xdr:rowOff>
    </xdr:from>
    <xdr:to>
      <xdr:col>10</xdr:col>
      <xdr:colOff>204281</xdr:colOff>
      <xdr:row>18</xdr:row>
      <xdr:rowOff>74173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F8FBF-1921-CEBD-CFDD-4CCED4E69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311239</xdr:colOff>
      <xdr:row>22</xdr:row>
      <xdr:rowOff>163132</xdr:rowOff>
    </xdr:from>
    <xdr:to>
      <xdr:col>14</xdr:col>
      <xdr:colOff>246844</xdr:colOff>
      <xdr:row>37</xdr:row>
      <xdr:rowOff>169571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E93A91-CA5B-BE55-DEF0-7DB9D05B3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343436</xdr:colOff>
      <xdr:row>3</xdr:row>
      <xdr:rowOff>34344</xdr:rowOff>
    </xdr:from>
    <xdr:to>
      <xdr:col>22</xdr:col>
      <xdr:colOff>21465</xdr:colOff>
      <xdr:row>18</xdr:row>
      <xdr:rowOff>40783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100DCD-97DF-2ECB-3B5C-580BAA7D9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137410</xdr:colOff>
      <xdr:row>10</xdr:row>
      <xdr:rowOff>179756</xdr:rowOff>
    </xdr:from>
    <xdr:to>
      <xdr:col>7</xdr:col>
      <xdr:colOff>599608</xdr:colOff>
      <xdr:row>37</xdr:row>
      <xdr:rowOff>24983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3798DE-5133-2698-CEDA-E723CC2D31FE}"/>
            </a:ext>
          </a:extLst>
        </xdr:cNvPr>
        <xdr:cNvSpPr txBox="1"/>
      </xdr:nvSpPr>
      <xdr:spPr>
        <a:xfrm>
          <a:off x="137410" y="3340182"/>
          <a:ext cx="6558198" cy="4904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1. Regional Performance Analysis:</a:t>
          </a:r>
          <a:endParaRPr lang="en-IN" sz="1600"/>
        </a:p>
        <a:p>
          <a:r>
            <a:rPr lang="en-IN" sz="1600"/>
            <a:t>The </a:t>
          </a:r>
          <a:r>
            <a:rPr lang="en-IN" sz="1600" b="1"/>
            <a:t>West</a:t>
          </a:r>
          <a:r>
            <a:rPr lang="en-IN" sz="1600"/>
            <a:t> and </a:t>
          </a:r>
          <a:r>
            <a:rPr lang="en-IN" sz="1600" b="1"/>
            <a:t>Central</a:t>
          </a:r>
          <a:r>
            <a:rPr lang="en-IN" sz="1600"/>
            <a:t> regions are the primary revenue drivers, contributing over </a:t>
          </a:r>
          <a:r>
            <a:rPr lang="en-IN" sz="1600" b="1"/>
            <a:t>64%</a:t>
          </a:r>
          <a:r>
            <a:rPr lang="en-IN" sz="1600"/>
            <a:t> of total business sales. The </a:t>
          </a:r>
          <a:r>
            <a:rPr lang="en-IN" sz="1600" b="1"/>
            <a:t>East</a:t>
          </a:r>
          <a:r>
            <a:rPr lang="en-IN" sz="1600"/>
            <a:t> region recorded the lowest performance ($32,441.64), indicating potential market expansion opportunities.</a:t>
          </a:r>
        </a:p>
        <a:p>
          <a:r>
            <a:rPr lang="en-IN" sz="1600" b="1"/>
            <a:t>2. Product Category Trends:</a:t>
          </a:r>
          <a:endParaRPr lang="en-IN" sz="1600"/>
        </a:p>
        <a:p>
          <a:r>
            <a:rPr lang="en-IN" sz="1600" b="1"/>
            <a:t>Books</a:t>
          </a:r>
          <a:r>
            <a:rPr lang="en-IN" sz="1600"/>
            <a:t> and </a:t>
          </a:r>
          <a:r>
            <a:rPr lang="en-IN" sz="1600" b="1"/>
            <a:t>Clothing</a:t>
          </a:r>
          <a:r>
            <a:rPr lang="en-IN" sz="1600"/>
            <a:t> generate consistent higher volume across all regions. Conversely, </a:t>
          </a:r>
          <a:r>
            <a:rPr lang="en-IN" sz="1600" b="1"/>
            <a:t>Office Supplies</a:t>
          </a:r>
          <a:r>
            <a:rPr lang="en-IN" sz="1600"/>
            <a:t> and </a:t>
          </a:r>
          <a:r>
            <a:rPr lang="en-IN" sz="1600" b="1"/>
            <a:t>Furniture</a:t>
          </a:r>
          <a:r>
            <a:rPr lang="en-IN" sz="1600"/>
            <a:t> show localized demand spikes, particularly in Central and South regions.</a:t>
          </a:r>
        </a:p>
        <a:p>
          <a:r>
            <a:rPr lang="en-IN" sz="1600" b="1"/>
            <a:t>3. Sales Growth &amp; Seasonality (Line Chart Analysis):</a:t>
          </a:r>
          <a:endParaRPr lang="en-IN" sz="1600"/>
        </a:p>
        <a:p>
          <a:r>
            <a:rPr lang="en-IN" sz="1600"/>
            <a:t>Sales exhibit clear seasonal trends with strong growth momentum starting in </a:t>
          </a:r>
          <a:r>
            <a:rPr lang="en-IN" sz="1600" b="1"/>
            <a:t>April ($22,242.10)</a:t>
          </a:r>
          <a:r>
            <a:rPr lang="en-IN" sz="1600"/>
            <a:t> and </a:t>
          </a:r>
          <a:r>
            <a:rPr lang="en-IN" sz="1600" b="1"/>
            <a:t>September ($20,533.50)</a:t>
          </a:r>
          <a:r>
            <a:rPr lang="en-IN" sz="1600"/>
            <a:t>. Mid-quarter dips occur around </a:t>
          </a:r>
          <a:r>
            <a:rPr lang="en-IN" sz="1600" b="1"/>
            <a:t>July &amp; August</a:t>
          </a:r>
          <a:r>
            <a:rPr lang="en-IN" sz="1600"/>
            <a:t>, requiring targeted promotional strategies during off-peak periods.</a:t>
          </a:r>
        </a:p>
        <a:p>
          <a:r>
            <a:rPr lang="en-IN" sz="1600" b="1"/>
            <a:t>4. Strategic Recommendations:</a:t>
          </a:r>
          <a:endParaRPr lang="en-IN" sz="1600"/>
        </a:p>
        <a:p>
          <a:pPr lvl="0"/>
          <a:r>
            <a:rPr lang="en-IN" sz="1600" b="1"/>
            <a:t>Focus Strategy:</a:t>
          </a:r>
          <a:r>
            <a:rPr lang="en-IN" sz="1600"/>
            <a:t> Double down on inventory management for Books and Clothing in West &amp; Central regions during Q2 and Q3 surges.</a:t>
          </a:r>
        </a:p>
        <a:p>
          <a:pPr lvl="0"/>
          <a:r>
            <a:rPr lang="en-IN" sz="1600" b="1"/>
            <a:t>Growth Strategy:</a:t>
          </a:r>
          <a:r>
            <a:rPr lang="en-IN" sz="1600"/>
            <a:t> Launch promotional discounts and targeted marketing campaigns in the East region to bridge the sales gap.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i Shah" refreshedDate="46317.659706018516" createdVersion="8" refreshedVersion="8" minRefreshableVersion="3" recordCount="200" xr:uid="{54C8D601-9FB4-478C-A3D8-C40CDF9902A6}">
  <cacheSource type="worksheet">
    <worksheetSource ref="E1:I201" sheet="Sheet1"/>
  </cacheSource>
  <cacheFields count="7"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6"/>
    </cacheField>
    <cacheField name="Profit" numFmtId="0">
      <sharedItems containsSemiMixedTypes="0" containsString="0" containsNumber="1" minValue="64.63" maxValue="769.46"/>
    </cacheField>
    <cacheField name="Months (Order_Date)" numFmtId="0" databaseField="0">
      <fieldGroup base="3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Years (Order_Date)" numFmtId="0" databaseField="0">
      <fieldGroup base="3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i Shah" refreshedDate="46317.734848032407" createdVersion="8" refreshedVersion="8" minRefreshableVersion="3" recordCount="200" xr:uid="{EA0131C8-D77E-4CA6-AB7F-3DEA2B35383A}">
  <cacheSource type="worksheet">
    <worksheetSource ref="A1:I201" sheet="highvaluecus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i Shah" refreshedDate="46317.745219675926" createdVersion="8" refreshedVersion="8" minRefreshableVersion="3" recordCount="200" xr:uid="{401D208C-A1E6-4ABF-A385-D552DFA83D91}">
  <cacheSource type="worksheet">
    <worksheetSource ref="A1:I201" sheet="Sheet1"/>
  </cacheSource>
  <cacheFields count="12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/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1"/>
    </cacheField>
    <cacheField name="Profit" numFmtId="0">
      <sharedItems containsSemiMixedTypes="0" containsString="0" containsNumber="1" minValue="64.63" maxValue="769.46" count="200">
        <n v="331.55"/>
        <n v="440.51"/>
        <n v="285.33999999999997"/>
        <n v="161.69999999999999"/>
        <n v="271.04000000000002"/>
        <n v="304.18"/>
        <n v="312.91000000000003"/>
        <n v="300.85000000000002"/>
        <n v="190.59"/>
        <n v="350.22"/>
        <n v="672.38"/>
        <n v="456.66"/>
        <n v="452.8"/>
        <n v="273.41000000000003"/>
        <n v="155.19999999999999"/>
        <n v="300.58999999999997"/>
        <n v="298.38"/>
        <n v="203.74"/>
        <n v="481.96"/>
        <n v="161.26"/>
        <n v="476.65"/>
        <n v="82.57"/>
        <n v="297.27"/>
        <n v="176.59"/>
        <n v="374.75"/>
        <n v="293.27999999999997"/>
        <n v="236.44"/>
        <n v="356.85"/>
        <n v="398.25"/>
        <n v="160.24"/>
        <n v="326.41000000000003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0999999999998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000000000003"/>
        <n v="367.59"/>
        <n v="769.46"/>
        <n v="327.92"/>
        <n v="553.29999999999995"/>
        <n v="352.86"/>
        <n v="313.91000000000003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000000000003"/>
        <n v="265.26"/>
        <n v="178.91"/>
        <n v="356.5"/>
        <n v="229.65"/>
        <n v="121.54"/>
        <n v="268"/>
        <n v="426.16"/>
        <n v="316.32"/>
        <n v="492.5"/>
        <n v="232.33"/>
        <n v="165.97"/>
        <n v="675.5"/>
        <n v="134.66"/>
        <n v="487.36"/>
        <n v="314.74"/>
        <n v="111.39"/>
        <n v="318.47000000000003"/>
        <n v="301.75"/>
        <n v="413.36"/>
        <n v="286.68"/>
        <n v="556.30999999999995"/>
        <n v="332.19"/>
        <n v="336.24"/>
        <n v="180.39"/>
        <n v="484.35"/>
        <n v="562.82000000000005"/>
        <n v="447.34"/>
        <n v="649.04999999999995"/>
        <n v="205"/>
        <n v="263.32"/>
        <n v="443.99"/>
        <n v="395.31"/>
        <n v="335.04"/>
        <n v="333.85"/>
        <n v="531.05999999999995"/>
        <n v="232.19"/>
        <n v="223.04"/>
        <n v="422.92"/>
        <n v="257.45"/>
        <n v="380.75"/>
        <n v="225.37"/>
        <n v="582.55999999999995"/>
        <n v="344.91"/>
        <n v="330.79"/>
        <n v="460"/>
        <n v="439.88"/>
        <n v="255.79"/>
        <n v="159.74"/>
        <n v="404.39"/>
        <n v="187.57"/>
        <n v="410.87"/>
        <n v="275.77999999999997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36.0899999999999"/>
    <n v="4"/>
    <n v="0.2"/>
    <x v="0"/>
    <n v="331.55"/>
  </r>
  <r>
    <n v="1101.28"/>
    <n v="3"/>
    <n v="0.2"/>
    <x v="1"/>
    <n v="440.51"/>
  </r>
  <r>
    <n v="713.34"/>
    <n v="17"/>
    <n v="0"/>
    <x v="2"/>
    <n v="285.33999999999997"/>
  </r>
  <r>
    <n v="760.93"/>
    <n v="4"/>
    <n v="0.15"/>
    <x v="2"/>
    <n v="161.69999999999999"/>
  </r>
  <r>
    <n v="847"/>
    <n v="12"/>
    <n v="0.2"/>
    <x v="3"/>
    <n v="271.04000000000002"/>
  </r>
  <r>
    <n v="965.64"/>
    <n v="8"/>
    <n v="0.1"/>
    <x v="4"/>
    <n v="304.18"/>
  </r>
  <r>
    <n v="1317.53"/>
    <n v="12"/>
    <n v="0.05"/>
    <x v="4"/>
    <n v="312.91000000000003"/>
  </r>
  <r>
    <n v="1074.47"/>
    <n v="6"/>
    <n v="0.2"/>
    <x v="5"/>
    <n v="300.85000000000002"/>
  </r>
  <r>
    <n v="501.54"/>
    <n v="11"/>
    <n v="0.05"/>
    <x v="5"/>
    <n v="190.59"/>
  </r>
  <r>
    <n v="737.31"/>
    <n v="2"/>
    <n v="0.05"/>
    <x v="5"/>
    <n v="350.22"/>
  </r>
  <r>
    <n v="1572.82"/>
    <n v="6"/>
    <n v="0.05"/>
    <x v="6"/>
    <n v="672.38"/>
  </r>
  <r>
    <n v="1343.13"/>
    <n v="14"/>
    <n v="0.15"/>
    <x v="7"/>
    <n v="456.66"/>
  </r>
  <r>
    <n v="1191.58"/>
    <n v="14"/>
    <n v="0.05"/>
    <x v="8"/>
    <n v="452.8"/>
  </r>
  <r>
    <n v="822.28"/>
    <n v="7"/>
    <n v="0.05"/>
    <x v="8"/>
    <n v="273.41000000000003"/>
  </r>
  <r>
    <n v="521.66999999999996"/>
    <n v="15"/>
    <n v="0.15"/>
    <x v="9"/>
    <n v="155.19999999999999"/>
  </r>
  <r>
    <n v="1502.93"/>
    <n v="14"/>
    <n v="0.2"/>
    <x v="10"/>
    <n v="300.58999999999997"/>
  </r>
  <r>
    <n v="877.58"/>
    <n v="10"/>
    <n v="0.15"/>
    <x v="11"/>
    <n v="298.38"/>
  </r>
  <r>
    <n v="636.70000000000005"/>
    <n v="4"/>
    <n v="0.2"/>
    <x v="11"/>
    <n v="203.74"/>
  </r>
  <r>
    <n v="1506.14"/>
    <n v="13"/>
    <n v="0.2"/>
    <x v="12"/>
    <n v="481.96"/>
  </r>
  <r>
    <n v="645.02"/>
    <n v="4"/>
    <n v="0"/>
    <x v="13"/>
    <n v="161.26"/>
  </r>
  <r>
    <n v="953.3"/>
    <n v="11"/>
    <n v="0"/>
    <x v="14"/>
    <n v="476.65"/>
  </r>
  <r>
    <n v="388.56"/>
    <n v="14"/>
    <n v="0.15"/>
    <x v="15"/>
    <n v="82.57"/>
  </r>
  <r>
    <n v="743.17"/>
    <n v="9"/>
    <n v="0"/>
    <x v="15"/>
    <n v="297.27"/>
  </r>
  <r>
    <n v="706.37"/>
    <n v="6"/>
    <n v="0"/>
    <x v="15"/>
    <n v="176.59"/>
  </r>
  <r>
    <n v="925.31"/>
    <n v="8"/>
    <n v="0.1"/>
    <x v="16"/>
    <n v="374.75"/>
  </r>
  <r>
    <n v="1173.1199999999999"/>
    <n v="18"/>
    <n v="0"/>
    <x v="16"/>
    <n v="293.27999999999997"/>
  </r>
  <r>
    <n v="675.54"/>
    <n v="17"/>
    <n v="0"/>
    <x v="17"/>
    <n v="236.44"/>
  </r>
  <r>
    <n v="939.09"/>
    <n v="2"/>
    <n v="0.05"/>
    <x v="18"/>
    <n v="356.85"/>
  </r>
  <r>
    <n v="983.34"/>
    <n v="19"/>
    <n v="0.1"/>
    <x v="19"/>
    <n v="398.25"/>
  </r>
  <r>
    <n v="801.21"/>
    <n v="3"/>
    <n v="0.2"/>
    <x v="19"/>
    <n v="160.24"/>
  </r>
  <r>
    <n v="1450.71"/>
    <n v="5"/>
    <n v="0.1"/>
    <x v="20"/>
    <n v="326.41000000000003"/>
  </r>
  <r>
    <n v="1023.21"/>
    <n v="18"/>
    <n v="0.05"/>
    <x v="21"/>
    <n v="388.82"/>
  </r>
  <r>
    <n v="853.72"/>
    <n v="5"/>
    <n v="0.15"/>
    <x v="21"/>
    <n v="253.98"/>
  </r>
  <r>
    <n v="967.89"/>
    <n v="10"/>
    <n v="0.1"/>
    <x v="22"/>
    <n v="217.78"/>
  </r>
  <r>
    <n v="1200.9000000000001"/>
    <n v="14"/>
    <n v="0.05"/>
    <x v="22"/>
    <n v="513.38"/>
  </r>
  <r>
    <n v="472.38"/>
    <n v="12"/>
    <n v="0.2"/>
    <x v="22"/>
    <n v="151.16"/>
  </r>
  <r>
    <n v="840.92"/>
    <n v="9"/>
    <n v="0.05"/>
    <x v="22"/>
    <n v="359.49"/>
  </r>
  <r>
    <n v="1410.06"/>
    <n v="11"/>
    <n v="0.05"/>
    <x v="23"/>
    <n v="468.84"/>
  </r>
  <r>
    <n v="773.09"/>
    <n v="13"/>
    <n v="0.15"/>
    <x v="23"/>
    <n v="229.99"/>
  </r>
  <r>
    <n v="580.42999999999995"/>
    <n v="19"/>
    <n v="0.15"/>
    <x v="24"/>
    <n v="197.35"/>
  </r>
  <r>
    <n v="1151.21"/>
    <n v="15"/>
    <n v="0.1"/>
    <x v="25"/>
    <n v="414.44"/>
  </r>
  <r>
    <n v="1025.98"/>
    <n v="5"/>
    <n v="0.2"/>
    <x v="26"/>
    <n v="369.35"/>
  </r>
  <r>
    <n v="556.41999999999996"/>
    <n v="11"/>
    <n v="0.15"/>
    <x v="26"/>
    <n v="212.83"/>
  </r>
  <r>
    <n v="840.85"/>
    <n v="19"/>
    <n v="0.1"/>
    <x v="27"/>
    <n v="302.70999999999998"/>
  </r>
  <r>
    <n v="1227.25"/>
    <n v="12"/>
    <n v="0.15"/>
    <x v="27"/>
    <n v="365.11"/>
  </r>
  <r>
    <n v="856.7"/>
    <n v="2"/>
    <n v="0"/>
    <x v="28"/>
    <n v="214.18"/>
  </r>
  <r>
    <n v="1225.42"/>
    <n v="8"/>
    <n v="0.15"/>
    <x v="28"/>
    <n v="468.72"/>
  </r>
  <r>
    <n v="1001.57"/>
    <n v="12"/>
    <n v="0"/>
    <x v="29"/>
    <n v="450.71"/>
  </r>
  <r>
    <n v="1186.8499999999999"/>
    <n v="19"/>
    <n v="0.2"/>
    <x v="30"/>
    <n v="332.32"/>
  </r>
  <r>
    <n v="775.45"/>
    <n v="6"/>
    <n v="0.1"/>
    <x v="31"/>
    <n v="174.48"/>
  </r>
  <r>
    <n v="1021.47"/>
    <n v="6"/>
    <n v="0.05"/>
    <x v="32"/>
    <n v="242.6"/>
  </r>
  <r>
    <n v="1226.6199999999999"/>
    <n v="7"/>
    <n v="0.1"/>
    <x v="33"/>
    <n v="551.98"/>
  </r>
  <r>
    <n v="1086.93"/>
    <n v="2"/>
    <n v="0"/>
    <x v="34"/>
    <n v="380.43"/>
  </r>
  <r>
    <n v="942.9"/>
    <n v="18"/>
    <n v="0.1"/>
    <x v="35"/>
    <n v="339.44"/>
  </r>
  <r>
    <n v="818.8"/>
    <n v="15"/>
    <n v="0.15"/>
    <x v="36"/>
    <n v="173.99"/>
  </r>
  <r>
    <n v="919.04"/>
    <n v="10"/>
    <n v="0.2"/>
    <x v="36"/>
    <n v="257.33"/>
  </r>
  <r>
    <n v="973.26"/>
    <n v="11"/>
    <n v="0"/>
    <x v="37"/>
    <n v="389.3"/>
  </r>
  <r>
    <n v="741.61"/>
    <n v="1"/>
    <n v="0.2"/>
    <x v="38"/>
    <n v="148.32"/>
  </r>
  <r>
    <n v="1248.82"/>
    <n v="2"/>
    <n v="0.1"/>
    <x v="39"/>
    <n v="449.58"/>
  </r>
  <r>
    <n v="1360.36"/>
    <n v="17"/>
    <n v="0"/>
    <x v="39"/>
    <n v="680.18"/>
  </r>
  <r>
    <n v="1383.3"/>
    <n v="8"/>
    <n v="0.1"/>
    <x v="40"/>
    <n v="497.99"/>
  </r>
  <r>
    <n v="488.99"/>
    <n v="9"/>
    <n v="0"/>
    <x v="41"/>
    <n v="220.05"/>
  </r>
  <r>
    <n v="933.71"/>
    <n v="17"/>
    <n v="0.1"/>
    <x v="42"/>
    <n v="294.12"/>
  </r>
  <r>
    <n v="1005.53"/>
    <n v="17"/>
    <n v="0.2"/>
    <x v="42"/>
    <n v="201.11"/>
  </r>
  <r>
    <n v="1100.0999999999999"/>
    <n v="5"/>
    <n v="0.05"/>
    <x v="43"/>
    <n v="261.27"/>
  </r>
  <r>
    <n v="1034.7"/>
    <n v="15"/>
    <n v="0.15"/>
    <x v="44"/>
    <n v="307.82"/>
  </r>
  <r>
    <n v="876.44"/>
    <n v="12"/>
    <n v="0.05"/>
    <x v="45"/>
    <n v="333.05"/>
  </r>
  <r>
    <n v="1371.34"/>
    <n v="5"/>
    <n v="0.05"/>
    <x v="45"/>
    <n v="455.97"/>
  </r>
  <r>
    <n v="1020.26"/>
    <n v="11"/>
    <n v="0.05"/>
    <x v="46"/>
    <n v="242.31"/>
  </r>
  <r>
    <n v="804.81"/>
    <n v="1"/>
    <n v="0.05"/>
    <x v="47"/>
    <n v="344.06"/>
  </r>
  <r>
    <n v="608.66"/>
    <n v="1"/>
    <n v="0.05"/>
    <x v="48"/>
    <n v="144.56"/>
  </r>
  <r>
    <n v="981.2"/>
    <n v="19"/>
    <n v="0"/>
    <x v="49"/>
    <n v="441.54"/>
  </r>
  <r>
    <n v="539.77"/>
    <n v="10"/>
    <n v="0.15"/>
    <x v="50"/>
    <n v="114.7"/>
  </r>
  <r>
    <n v="804.45"/>
    <n v="5"/>
    <n v="0.2"/>
    <x v="50"/>
    <n v="257.42"/>
  </r>
  <r>
    <n v="1526.6"/>
    <n v="13"/>
    <n v="0.2"/>
    <x v="51"/>
    <n v="305.32"/>
  </r>
  <r>
    <n v="1215.26"/>
    <n v="5"/>
    <n v="0.15"/>
    <x v="52"/>
    <n v="258.24"/>
  </r>
  <r>
    <n v="1261.3399999999999"/>
    <n v="3"/>
    <n v="0"/>
    <x v="53"/>
    <n v="441.47"/>
  </r>
  <r>
    <n v="518.07000000000005"/>
    <n v="7"/>
    <n v="0.05"/>
    <x v="54"/>
    <n v="172.26"/>
  </r>
  <r>
    <n v="1111.3399999999999"/>
    <n v="1"/>
    <n v="0"/>
    <x v="55"/>
    <n v="500.1"/>
  </r>
  <r>
    <n v="1291.47"/>
    <n v="18"/>
    <n v="0.1"/>
    <x v="56"/>
    <n v="581.16"/>
  </r>
  <r>
    <n v="679.71"/>
    <n v="19"/>
    <n v="0"/>
    <x v="57"/>
    <n v="271.88"/>
  </r>
  <r>
    <n v="1143.69"/>
    <n v="17"/>
    <n v="0"/>
    <x v="57"/>
    <n v="400.29"/>
  </r>
  <r>
    <n v="790.08"/>
    <n v="7"/>
    <n v="0.1"/>
    <x v="58"/>
    <n v="177.77"/>
  </r>
  <r>
    <n v="1070.68"/>
    <n v="7"/>
    <n v="0.05"/>
    <x v="58"/>
    <n v="406.86"/>
  </r>
  <r>
    <n v="1168.8900000000001"/>
    <n v="4"/>
    <n v="0.1"/>
    <x v="59"/>
    <n v="526"/>
  </r>
  <r>
    <n v="1335.87"/>
    <n v="17"/>
    <n v="0"/>
    <x v="59"/>
    <n v="333.97"/>
  </r>
  <r>
    <n v="873.7"/>
    <n v="9"/>
    <n v="0"/>
    <x v="60"/>
    <n v="305.8"/>
  </r>
  <r>
    <n v="1443.98"/>
    <n v="19"/>
    <n v="0"/>
    <x v="61"/>
    <n v="649.79"/>
  </r>
  <r>
    <n v="1154.33"/>
    <n v="11"/>
    <n v="0.15"/>
    <x v="62"/>
    <n v="441.53"/>
  </r>
  <r>
    <n v="1264.49"/>
    <n v="16"/>
    <n v="0.05"/>
    <x v="62"/>
    <n v="480.51"/>
  </r>
  <r>
    <n v="1101.55"/>
    <n v="4"/>
    <n v="0.1"/>
    <x v="63"/>
    <n v="346.99"/>
  </r>
  <r>
    <n v="727.73"/>
    <n v="1"/>
    <n v="0.1"/>
    <x v="64"/>
    <n v="229.23"/>
  </r>
  <r>
    <n v="875.41"/>
    <n v="13"/>
    <n v="0.15"/>
    <x v="64"/>
    <n v="334.84"/>
  </r>
  <r>
    <n v="1158.94"/>
    <n v="19"/>
    <n v="0.2"/>
    <x v="65"/>
    <n v="231.79"/>
  </r>
  <r>
    <n v="966.3"/>
    <n v="2"/>
    <n v="0.15"/>
    <x v="66"/>
    <n v="328.54"/>
  </r>
  <r>
    <n v="917.48"/>
    <n v="6"/>
    <n v="0"/>
    <x v="67"/>
    <n v="366.99"/>
  </r>
  <r>
    <n v="1172.97"/>
    <n v="7"/>
    <n v="0.15"/>
    <x v="68"/>
    <n v="348.96"/>
  </r>
  <r>
    <n v="1205.82"/>
    <n v="11"/>
    <n v="0.1"/>
    <x v="68"/>
    <n v="542.62"/>
  </r>
  <r>
    <n v="826.93"/>
    <n v="10"/>
    <n v="0.2"/>
    <x v="69"/>
    <n v="297.69"/>
  </r>
  <r>
    <n v="902.19"/>
    <n v="12"/>
    <n v="0"/>
    <x v="69"/>
    <n v="451.1"/>
  </r>
  <r>
    <n v="585.97"/>
    <n v="17"/>
    <n v="0.1"/>
    <x v="70"/>
    <n v="210.95"/>
  </r>
  <r>
    <n v="990.19"/>
    <n v="8"/>
    <n v="0.1"/>
    <x v="70"/>
    <n v="445.59"/>
  </r>
  <r>
    <n v="1014.09"/>
    <n v="13"/>
    <n v="0.2"/>
    <x v="71"/>
    <n v="202.82"/>
  </r>
  <r>
    <n v="925.29"/>
    <n v="17"/>
    <n v="0"/>
    <x v="72"/>
    <n v="231.32"/>
  </r>
  <r>
    <n v="1286.54"/>
    <n v="8"/>
    <n v="0"/>
    <x v="73"/>
    <n v="450.29"/>
  </r>
  <r>
    <n v="961.62"/>
    <n v="8"/>
    <n v="0.2"/>
    <x v="74"/>
    <n v="307.72000000000003"/>
  </r>
  <r>
    <n v="1081.1400000000001"/>
    <n v="19"/>
    <n v="0.15"/>
    <x v="74"/>
    <n v="367.59"/>
  </r>
  <r>
    <n v="1923.66"/>
    <n v="9"/>
    <n v="0.2"/>
    <x v="75"/>
    <n v="769.46"/>
  </r>
  <r>
    <n v="728.71"/>
    <n v="14"/>
    <n v="0.1"/>
    <x v="76"/>
    <n v="327.92"/>
  </r>
  <r>
    <n v="1301.8900000000001"/>
    <n v="7"/>
    <n v="0.15"/>
    <x v="76"/>
    <n v="553.29999999999995"/>
  </r>
  <r>
    <n v="980.18"/>
    <n v="16"/>
    <n v="0.1"/>
    <x v="77"/>
    <n v="352.86"/>
  </r>
  <r>
    <n v="697.57"/>
    <n v="17"/>
    <n v="0.1"/>
    <x v="78"/>
    <n v="313.91000000000003"/>
  </r>
  <r>
    <n v="1193.6099999999999"/>
    <n v="1"/>
    <n v="0.15"/>
    <x v="78"/>
    <n v="355.1"/>
  </r>
  <r>
    <n v="771.02"/>
    <n v="1"/>
    <n v="0"/>
    <x v="79"/>
    <n v="192.76"/>
  </r>
  <r>
    <n v="661.09"/>
    <n v="1"/>
    <n v="0.2"/>
    <x v="80"/>
    <n v="264.44"/>
  </r>
  <r>
    <n v="688.83"/>
    <n v="15"/>
    <n v="0"/>
    <x v="81"/>
    <n v="172.21"/>
  </r>
  <r>
    <n v="1249.0999999999999"/>
    <n v="4"/>
    <n v="0.05"/>
    <x v="82"/>
    <n v="474.66"/>
  </r>
  <r>
    <n v="1014.22"/>
    <n v="14"/>
    <n v="0.05"/>
    <x v="83"/>
    <n v="433.58"/>
  </r>
  <r>
    <n v="1010.58"/>
    <n v="2"/>
    <n v="0.15"/>
    <x v="84"/>
    <n v="343.6"/>
  </r>
  <r>
    <n v="957.29"/>
    <n v="4"/>
    <n v="0.05"/>
    <x v="84"/>
    <n v="318.3"/>
  </r>
  <r>
    <n v="1077.92"/>
    <n v="3"/>
    <n v="0.05"/>
    <x v="85"/>
    <n v="358.41"/>
  </r>
  <r>
    <n v="1163.01"/>
    <n v="5"/>
    <n v="0"/>
    <x v="86"/>
    <n v="581.5"/>
  </r>
  <r>
    <n v="1014.56"/>
    <n v="10"/>
    <n v="0.1"/>
    <x v="87"/>
    <n v="410.9"/>
  </r>
  <r>
    <n v="718.04"/>
    <n v="14"/>
    <n v="0"/>
    <x v="88"/>
    <n v="179.51"/>
  </r>
  <r>
    <n v="1277.8499999999999"/>
    <n v="18"/>
    <n v="0.2"/>
    <x v="88"/>
    <n v="511.14"/>
  </r>
  <r>
    <n v="706.73"/>
    <n v="1"/>
    <n v="0.15"/>
    <x v="88"/>
    <n v="150.18"/>
  </r>
  <r>
    <n v="1410.59"/>
    <n v="15"/>
    <n v="0"/>
    <x v="89"/>
    <n v="352.65"/>
  </r>
  <r>
    <n v="1350.33"/>
    <n v="10"/>
    <n v="0"/>
    <x v="89"/>
    <n v="472.62"/>
  </r>
  <r>
    <n v="919.18"/>
    <n v="4"/>
    <n v="0.15"/>
    <x v="89"/>
    <n v="195.33"/>
  </r>
  <r>
    <n v="258.51"/>
    <n v="19"/>
    <n v="0"/>
    <x v="90"/>
    <n v="64.63"/>
  </r>
  <r>
    <n v="1213.48"/>
    <n v="5"/>
    <n v="0.05"/>
    <x v="90"/>
    <n v="461.12"/>
  </r>
  <r>
    <n v="1150.28"/>
    <n v="8"/>
    <n v="0.05"/>
    <x v="91"/>
    <n v="437.11"/>
  </r>
  <r>
    <n v="853.86"/>
    <n v="8"/>
    <n v="0.1"/>
    <x v="91"/>
    <n v="268.97000000000003"/>
  </r>
  <r>
    <n v="1061.04"/>
    <n v="1"/>
    <n v="0"/>
    <x v="92"/>
    <n v="265.26"/>
  </r>
  <r>
    <n v="894.55"/>
    <n v="19"/>
    <n v="0.2"/>
    <x v="93"/>
    <n v="178.91"/>
  </r>
  <r>
    <n v="833.91"/>
    <n v="3"/>
    <n v="0.05"/>
    <x v="94"/>
    <n v="356.5"/>
  </r>
  <r>
    <n v="820.19"/>
    <n v="4"/>
    <n v="0.2"/>
    <x v="95"/>
    <n v="229.65"/>
  </r>
  <r>
    <n v="511.74"/>
    <n v="8"/>
    <n v="0.05"/>
    <x v="96"/>
    <n v="121.54"/>
  </r>
  <r>
    <n v="806.03"/>
    <n v="19"/>
    <n v="0.05"/>
    <x v="97"/>
    <n v="268"/>
  </r>
  <r>
    <n v="1432.47"/>
    <n v="16"/>
    <n v="0.15"/>
    <x v="98"/>
    <n v="426.16"/>
  </r>
  <r>
    <n v="1488.58"/>
    <n v="10"/>
    <n v="0.15"/>
    <x v="98"/>
    <n v="316.32"/>
  </r>
  <r>
    <n v="1231.26"/>
    <n v="9"/>
    <n v="0"/>
    <x v="99"/>
    <n v="492.5"/>
  </r>
  <r>
    <n v="1161.67"/>
    <n v="19"/>
    <n v="0.2"/>
    <x v="100"/>
    <n v="232.33"/>
  </r>
  <r>
    <n v="388.23"/>
    <n v="16"/>
    <n v="0.05"/>
    <x v="101"/>
    <n v="165.97"/>
  </r>
  <r>
    <n v="1589.42"/>
    <n v="6"/>
    <n v="0.15"/>
    <x v="102"/>
    <n v="675.5"/>
  </r>
  <r>
    <n v="336.66"/>
    <n v="13"/>
    <n v="0.2"/>
    <x v="102"/>
    <n v="134.66"/>
  </r>
  <r>
    <n v="1353.79"/>
    <n v="14"/>
    <n v="0.1"/>
    <x v="103"/>
    <n v="487.36"/>
  </r>
  <r>
    <n v="662.61"/>
    <n v="11"/>
    <n v="0.05"/>
    <x v="104"/>
    <n v="314.74"/>
  </r>
  <r>
    <n v="309.42"/>
    <n v="1"/>
    <n v="0.2"/>
    <x v="104"/>
    <n v="111.39"/>
  </r>
  <r>
    <n v="884.63"/>
    <n v="18"/>
    <n v="0.1"/>
    <x v="105"/>
    <n v="318.47000000000003"/>
  </r>
  <r>
    <n v="745.05"/>
    <n v="10"/>
    <n v="0.1"/>
    <x v="106"/>
    <n v="301.75"/>
  </r>
  <r>
    <n v="870.23"/>
    <n v="5"/>
    <n v="0.05"/>
    <x v="106"/>
    <n v="413.36"/>
  </r>
  <r>
    <n v="862.19"/>
    <n v="18"/>
    <n v="0.05"/>
    <x v="107"/>
    <n v="286.68"/>
  </r>
  <r>
    <n v="1171.18"/>
    <n v="19"/>
    <n v="0.05"/>
    <x v="108"/>
    <n v="556.30999999999995"/>
  </r>
  <r>
    <n v="1054.56"/>
    <n v="11"/>
    <n v="0.1"/>
    <x v="109"/>
    <n v="332.19"/>
  </r>
  <r>
    <n v="1681.21"/>
    <n v="5"/>
    <n v="0.2"/>
    <x v="110"/>
    <n v="336.24"/>
  </r>
  <r>
    <n v="379.77"/>
    <n v="9"/>
    <n v="0.05"/>
    <x v="111"/>
    <n v="180.39"/>
  </r>
  <r>
    <n v="1076.33"/>
    <n v="2"/>
    <n v="0.1"/>
    <x v="112"/>
    <n v="484.35"/>
  </r>
  <r>
    <n v="1250.71"/>
    <n v="7"/>
    <n v="0"/>
    <x v="112"/>
    <n v="562.82000000000005"/>
  </r>
  <r>
    <n v="1118.3399999999999"/>
    <n v="6"/>
    <n v="0.2"/>
    <x v="112"/>
    <n v="447.34"/>
  </r>
  <r>
    <n v="1622.62"/>
    <n v="12"/>
    <n v="0.2"/>
    <x v="113"/>
    <n v="649.04999999999995"/>
  </r>
  <r>
    <n v="640.64"/>
    <n v="11"/>
    <n v="0.2"/>
    <x v="114"/>
    <n v="205"/>
  </r>
  <r>
    <n v="585.16"/>
    <n v="17"/>
    <n v="0.1"/>
    <x v="115"/>
    <n v="263.32"/>
  </r>
  <r>
    <n v="1109.98"/>
    <n v="5"/>
    <n v="0.2"/>
    <x v="116"/>
    <n v="443.99"/>
  </r>
  <r>
    <n v="1098.08"/>
    <n v="9"/>
    <n v="0.1"/>
    <x v="117"/>
    <n v="395.31"/>
  </r>
  <r>
    <n v="827.25"/>
    <n v="7"/>
    <n v="0.1"/>
    <x v="118"/>
    <n v="335.04"/>
  </r>
  <r>
    <n v="741.88"/>
    <n v="16"/>
    <n v="0.1"/>
    <x v="119"/>
    <n v="333.85"/>
  </r>
  <r>
    <n v="1311.26"/>
    <n v="6"/>
    <n v="0.1"/>
    <x v="120"/>
    <n v="531.05999999999995"/>
  </r>
  <r>
    <n v="573.32000000000005"/>
    <n v="19"/>
    <n v="0.1"/>
    <x v="121"/>
    <n v="232.19"/>
  </r>
  <r>
    <n v="1115.22"/>
    <n v="14"/>
    <n v="0.2"/>
    <x v="122"/>
    <n v="223.04"/>
  </r>
  <r>
    <n v="845.84"/>
    <n v="4"/>
    <n v="0"/>
    <x v="123"/>
    <n v="422.92"/>
  </r>
  <r>
    <n v="1029.8"/>
    <n v="3"/>
    <n v="0"/>
    <x v="124"/>
    <n v="257.45"/>
  </r>
  <r>
    <n v="1189.83"/>
    <n v="2"/>
    <n v="0.2"/>
    <x v="125"/>
    <n v="380.75"/>
  </r>
  <r>
    <n v="704.28"/>
    <n v="15"/>
    <n v="0.2"/>
    <x v="126"/>
    <n v="225.37"/>
  </r>
  <r>
    <n v="1618.22"/>
    <n v="12"/>
    <n v="0.2"/>
    <x v="126"/>
    <n v="582.55999999999995"/>
  </r>
  <r>
    <n v="1014.43"/>
    <n v="2"/>
    <n v="0.15"/>
    <x v="127"/>
    <n v="344.91"/>
  </r>
  <r>
    <n v="826.97"/>
    <n v="18"/>
    <n v="0.2"/>
    <x v="128"/>
    <n v="330.79"/>
  </r>
  <r>
    <n v="1022.23"/>
    <n v="8"/>
    <n v="0.1"/>
    <x v="129"/>
    <n v="460"/>
  </r>
  <r>
    <n v="1099.69"/>
    <n v="6"/>
    <n v="0"/>
    <x v="130"/>
    <n v="439.88"/>
  </r>
  <r>
    <n v="710.52"/>
    <n v="8"/>
    <n v="0.1"/>
    <x v="131"/>
    <n v="255.79"/>
  </r>
  <r>
    <n v="499.18"/>
    <n v="15"/>
    <n v="0.2"/>
    <x v="132"/>
    <n v="159.74"/>
  </r>
  <r>
    <n v="1064.19"/>
    <n v="18"/>
    <n v="0.05"/>
    <x v="133"/>
    <n v="404.39"/>
  </r>
  <r>
    <n v="438.76"/>
    <n v="18"/>
    <n v="0.05"/>
    <x v="134"/>
    <n v="187.57"/>
  </r>
  <r>
    <n v="864.98"/>
    <n v="2"/>
    <n v="0.05"/>
    <x v="135"/>
    <n v="410.87"/>
  </r>
  <r>
    <n v="984.93"/>
    <n v="14"/>
    <n v="0.2"/>
    <x v="136"/>
    <n v="275.77999999999997"/>
  </r>
  <r>
    <n v="1493.49"/>
    <n v="18"/>
    <n v="0"/>
    <x v="137"/>
    <n v="746.74"/>
  </r>
  <r>
    <n v="689.43"/>
    <n v="9"/>
    <n v="0.1"/>
    <x v="138"/>
    <n v="310.24"/>
  </r>
  <r>
    <n v="682.24"/>
    <n v="1"/>
    <n v="0"/>
    <x v="139"/>
    <n v="341.12"/>
  </r>
  <r>
    <n v="458.54"/>
    <n v="15"/>
    <n v="0.2"/>
    <x v="140"/>
    <n v="91.71"/>
  </r>
  <r>
    <n v="1184.25"/>
    <n v="11"/>
    <n v="0.2"/>
    <x v="141"/>
    <n v="331.59"/>
  </r>
  <r>
    <n v="762.14"/>
    <n v="9"/>
    <n v="0"/>
    <x v="142"/>
    <n v="381.07"/>
  </r>
  <r>
    <n v="750.71"/>
    <n v="10"/>
    <n v="0.15"/>
    <x v="142"/>
    <n v="255.24"/>
  </r>
  <r>
    <n v="1456.94"/>
    <n v="14"/>
    <n v="0.05"/>
    <x v="143"/>
    <n v="692.05"/>
  </r>
  <r>
    <n v="1093.3800000000001"/>
    <n v="17"/>
    <n v="0.1"/>
    <x v="143"/>
    <n v="344.41"/>
  </r>
  <r>
    <n v="934.27"/>
    <n v="8"/>
    <n v="0.15"/>
    <x v="144"/>
    <n v="397.06"/>
  </r>
  <r>
    <n v="1465.35"/>
    <n v="8"/>
    <n v="0.2"/>
    <x v="144"/>
    <n v="586.14"/>
  </r>
  <r>
    <n v="740.8"/>
    <n v="3"/>
    <n v="0"/>
    <x v="145"/>
    <n v="333.36"/>
  </r>
  <r>
    <n v="545.44000000000005"/>
    <n v="17"/>
    <n v="0"/>
    <x v="146"/>
    <n v="245.45"/>
  </r>
  <r>
    <n v="997.61"/>
    <n v="8"/>
    <n v="0.05"/>
    <x v="146"/>
    <n v="379.09"/>
  </r>
  <r>
    <n v="928.32"/>
    <n v="2"/>
    <n v="0.05"/>
    <x v="147"/>
    <n v="440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s v="Books"/>
    <n v="1036.0899999999999"/>
    <n v="4"/>
    <n v="0.2"/>
    <x v="0"/>
    <x v="0"/>
  </r>
  <r>
    <s v="CUST012"/>
    <s v="Robert Anderson"/>
    <x v="0"/>
    <s v="Clothing"/>
    <n v="1101.28"/>
    <n v="3"/>
    <n v="0.2"/>
    <x v="1"/>
    <x v="1"/>
  </r>
  <r>
    <s v="CUST017"/>
    <s v="James Taylor"/>
    <x v="1"/>
    <s v="Books"/>
    <n v="713.34"/>
    <n v="17"/>
    <n v="0"/>
    <x v="2"/>
    <x v="2"/>
  </r>
  <r>
    <s v="CUST005"/>
    <s v="Robert Anderson"/>
    <x v="2"/>
    <s v="Electronics"/>
    <n v="760.93"/>
    <n v="4"/>
    <n v="0.15"/>
    <x v="2"/>
    <x v="3"/>
  </r>
  <r>
    <s v="CUST030"/>
    <s v="James Wilson"/>
    <x v="3"/>
    <s v="Books"/>
    <n v="847"/>
    <n v="12"/>
    <n v="0.2"/>
    <x v="3"/>
    <x v="4"/>
  </r>
  <r>
    <s v="CUST007"/>
    <s v="Michael Anderson"/>
    <x v="3"/>
    <s v="Furniture"/>
    <n v="965.64"/>
    <n v="8"/>
    <n v="0.1"/>
    <x v="4"/>
    <x v="5"/>
  </r>
  <r>
    <s v="CUST001"/>
    <s v="Linda Wilson"/>
    <x v="0"/>
    <s v="Electronics"/>
    <n v="1317.53"/>
    <n v="12"/>
    <n v="0.05"/>
    <x v="4"/>
    <x v="6"/>
  </r>
  <r>
    <s v="CUST026"/>
    <s v="Mary Davis"/>
    <x v="1"/>
    <s v="Furniture"/>
    <n v="1074.47"/>
    <n v="6"/>
    <n v="0.2"/>
    <x v="5"/>
    <x v="7"/>
  </r>
  <r>
    <s v="CUST009"/>
    <s v="Linda Jackson"/>
    <x v="4"/>
    <s v="Books"/>
    <n v="501.54"/>
    <n v="11"/>
    <n v="0.05"/>
    <x v="5"/>
    <x v="8"/>
  </r>
  <r>
    <s v="CUST010"/>
    <s v="David Thomas"/>
    <x v="4"/>
    <s v="Clothing"/>
    <n v="737.31"/>
    <n v="2"/>
    <n v="0.05"/>
    <x v="5"/>
    <x v="9"/>
  </r>
  <r>
    <s v="CUST014"/>
    <s v="Emma Davis"/>
    <x v="0"/>
    <s v="Office Supplies"/>
    <n v="1572.82"/>
    <n v="6"/>
    <n v="0.05"/>
    <x v="6"/>
    <x v="10"/>
  </r>
  <r>
    <s v="CUST014"/>
    <s v="David Thomas"/>
    <x v="4"/>
    <s v="Books"/>
    <n v="1343.13"/>
    <n v="14"/>
    <n v="0.15"/>
    <x v="7"/>
    <x v="11"/>
  </r>
  <r>
    <s v="CUST007"/>
    <s v="Michael Anderson"/>
    <x v="4"/>
    <s v="Books"/>
    <n v="1191.58"/>
    <n v="14"/>
    <n v="0.05"/>
    <x v="8"/>
    <x v="12"/>
  </r>
  <r>
    <s v="CUST023"/>
    <s v="Robert Anderson"/>
    <x v="0"/>
    <s v="Furniture"/>
    <n v="822.28"/>
    <n v="7"/>
    <n v="0.05"/>
    <x v="8"/>
    <x v="13"/>
  </r>
  <r>
    <s v="CUST029"/>
    <s v="David Smith"/>
    <x v="3"/>
    <s v="Furniture"/>
    <n v="521.66999999999996"/>
    <n v="15"/>
    <n v="0.15"/>
    <x v="9"/>
    <x v="14"/>
  </r>
  <r>
    <s v="CUST005"/>
    <s v="Sarah Anderson"/>
    <x v="2"/>
    <s v="Electronics"/>
    <n v="1502.93"/>
    <n v="14"/>
    <n v="0.2"/>
    <x v="10"/>
    <x v="15"/>
  </r>
  <r>
    <s v="CUST008"/>
    <s v="Robert Anderson"/>
    <x v="2"/>
    <s v="Books"/>
    <n v="877.58"/>
    <n v="10"/>
    <n v="0.15"/>
    <x v="11"/>
    <x v="16"/>
  </r>
  <r>
    <s v="CUST001"/>
    <s v="Lisa Thomas"/>
    <x v="0"/>
    <s v="Books"/>
    <n v="636.70000000000005"/>
    <n v="4"/>
    <n v="0.2"/>
    <x v="11"/>
    <x v="17"/>
  </r>
  <r>
    <s v="CUST006"/>
    <s v="Mary Jackson"/>
    <x v="0"/>
    <s v="Books"/>
    <n v="1506.14"/>
    <n v="13"/>
    <n v="0.2"/>
    <x v="12"/>
    <x v="18"/>
  </r>
  <r>
    <s v="CUST026"/>
    <s v="Mary Davis"/>
    <x v="4"/>
    <s v="Electronics"/>
    <n v="645.02"/>
    <n v="4"/>
    <n v="0"/>
    <x v="13"/>
    <x v="19"/>
  </r>
  <r>
    <s v="CUST007"/>
    <s v="Lisa Davis"/>
    <x v="2"/>
    <s v="Clothing"/>
    <n v="953.3"/>
    <n v="11"/>
    <n v="0"/>
    <x v="14"/>
    <x v="20"/>
  </r>
  <r>
    <s v="CUST022"/>
    <s v="Robert Anderson"/>
    <x v="3"/>
    <s v="Electronics"/>
    <n v="388.56"/>
    <n v="14"/>
    <n v="0.15"/>
    <x v="15"/>
    <x v="21"/>
  </r>
  <r>
    <s v="CUST019"/>
    <s v="Mary Davis"/>
    <x v="0"/>
    <s v="Books"/>
    <n v="743.17"/>
    <n v="9"/>
    <n v="0"/>
    <x v="15"/>
    <x v="22"/>
  </r>
  <r>
    <s v="CUST023"/>
    <s v="Mary Davis"/>
    <x v="4"/>
    <s v="Electronics"/>
    <n v="706.37"/>
    <n v="6"/>
    <n v="0"/>
    <x v="15"/>
    <x v="23"/>
  </r>
  <r>
    <s v="CUST012"/>
    <s v="Mary Davis"/>
    <x v="4"/>
    <s v="Office Supplies"/>
    <n v="925.31"/>
    <n v="8"/>
    <n v="0.1"/>
    <x v="16"/>
    <x v="24"/>
  </r>
  <r>
    <s v="CUST010"/>
    <s v="Linda Brown"/>
    <x v="2"/>
    <s v="Electronics"/>
    <n v="1173.1199999999999"/>
    <n v="18"/>
    <n v="0"/>
    <x v="16"/>
    <x v="25"/>
  </r>
  <r>
    <s v="CUST030"/>
    <s v="John Brown"/>
    <x v="3"/>
    <s v="Furniture"/>
    <n v="675.54"/>
    <n v="17"/>
    <n v="0"/>
    <x v="17"/>
    <x v="26"/>
  </r>
  <r>
    <s v="CUST007"/>
    <s v="Robert Anderson"/>
    <x v="4"/>
    <s v="Books"/>
    <n v="939.09"/>
    <n v="2"/>
    <n v="0.05"/>
    <x v="18"/>
    <x v="27"/>
  </r>
  <r>
    <s v="CUST028"/>
    <s v="Linda Taylor"/>
    <x v="1"/>
    <s v="Office Supplies"/>
    <n v="983.34"/>
    <n v="19"/>
    <n v="0.1"/>
    <x v="19"/>
    <x v="28"/>
  </r>
  <r>
    <s v="CUST028"/>
    <s v="James Wilson"/>
    <x v="2"/>
    <s v="Electronics"/>
    <n v="801.21"/>
    <n v="3"/>
    <n v="0.2"/>
    <x v="19"/>
    <x v="29"/>
  </r>
  <r>
    <s v="CUST025"/>
    <s v="David Brown"/>
    <x v="3"/>
    <s v="Electronics"/>
    <n v="1450.71"/>
    <n v="5"/>
    <n v="0.1"/>
    <x v="20"/>
    <x v="30"/>
  </r>
  <r>
    <s v="CUST022"/>
    <s v="David Davis"/>
    <x v="4"/>
    <s v="Books"/>
    <n v="1023.21"/>
    <n v="18"/>
    <n v="0.05"/>
    <x v="21"/>
    <x v="31"/>
  </r>
  <r>
    <s v="CUST001"/>
    <s v="Mary Jackson"/>
    <x v="0"/>
    <s v="Furniture"/>
    <n v="853.72"/>
    <n v="5"/>
    <n v="0.15"/>
    <x v="21"/>
    <x v="32"/>
  </r>
  <r>
    <s v="CUST021"/>
    <s v="Sarah Anderson"/>
    <x v="2"/>
    <s v="Electronics"/>
    <n v="967.89"/>
    <n v="10"/>
    <n v="0.1"/>
    <x v="22"/>
    <x v="33"/>
  </r>
  <r>
    <s v="CUST015"/>
    <s v="Linda Taylor"/>
    <x v="3"/>
    <s v="Office Supplies"/>
    <n v="1200.9000000000001"/>
    <n v="14"/>
    <n v="0.05"/>
    <x v="22"/>
    <x v="34"/>
  </r>
  <r>
    <s v="CUST012"/>
    <s v="Michael Anderson"/>
    <x v="0"/>
    <s v="Books"/>
    <n v="472.38"/>
    <n v="12"/>
    <n v="0.2"/>
    <x v="22"/>
    <x v="35"/>
  </r>
  <r>
    <s v="CUST019"/>
    <s v="David Brown"/>
    <x v="1"/>
    <s v="Office Supplies"/>
    <n v="840.92"/>
    <n v="9"/>
    <n v="0.05"/>
    <x v="22"/>
    <x v="36"/>
  </r>
  <r>
    <s v="CUST028"/>
    <s v="Lisa Davis"/>
    <x v="4"/>
    <s v="Furniture"/>
    <n v="1410.06"/>
    <n v="11"/>
    <n v="0.05"/>
    <x v="23"/>
    <x v="37"/>
  </r>
  <r>
    <s v="CUST008"/>
    <s v="Mary Wilson"/>
    <x v="4"/>
    <s v="Furniture"/>
    <n v="773.09"/>
    <n v="13"/>
    <n v="0.15"/>
    <x v="23"/>
    <x v="38"/>
  </r>
  <r>
    <s v="CUST016"/>
    <s v="Emma Wilson"/>
    <x v="1"/>
    <s v="Books"/>
    <n v="580.42999999999995"/>
    <n v="19"/>
    <n v="0.15"/>
    <x v="24"/>
    <x v="39"/>
  </r>
  <r>
    <s v="CUST005"/>
    <s v="David Smith"/>
    <x v="2"/>
    <s v="Books"/>
    <n v="1151.21"/>
    <n v="15"/>
    <n v="0.1"/>
    <x v="25"/>
    <x v="40"/>
  </r>
  <r>
    <s v="CUST028"/>
    <s v="James Wilson"/>
    <x v="4"/>
    <s v="Office Supplies"/>
    <n v="1025.98"/>
    <n v="5"/>
    <n v="0.2"/>
    <x v="26"/>
    <x v="41"/>
  </r>
  <r>
    <s v="CUST023"/>
    <s v="David Davis"/>
    <x v="1"/>
    <s v="Office Supplies"/>
    <n v="556.41999999999996"/>
    <n v="11"/>
    <n v="0.15"/>
    <x v="26"/>
    <x v="42"/>
  </r>
  <r>
    <s v="CUST021"/>
    <s v="James Wilson"/>
    <x v="4"/>
    <s v="Books"/>
    <n v="840.85"/>
    <n v="19"/>
    <n v="0.1"/>
    <x v="27"/>
    <x v="43"/>
  </r>
  <r>
    <s v="CUST026"/>
    <s v="Emma Wilson"/>
    <x v="3"/>
    <s v="Furniture"/>
    <n v="1227.25"/>
    <n v="12"/>
    <n v="0.15"/>
    <x v="27"/>
    <x v="44"/>
  </r>
  <r>
    <s v="CUST017"/>
    <s v="Linda Davis"/>
    <x v="4"/>
    <s v="Electronics"/>
    <n v="856.7"/>
    <n v="2"/>
    <n v="0"/>
    <x v="28"/>
    <x v="45"/>
  </r>
  <r>
    <s v="CUST025"/>
    <s v="David Davis"/>
    <x v="4"/>
    <s v="Office Supplies"/>
    <n v="1225.42"/>
    <n v="8"/>
    <n v="0.15"/>
    <x v="28"/>
    <x v="46"/>
  </r>
  <r>
    <s v="CUST011"/>
    <s v="Mary Davis"/>
    <x v="3"/>
    <s v="Office Supplies"/>
    <n v="1001.57"/>
    <n v="12"/>
    <n v="0"/>
    <x v="29"/>
    <x v="47"/>
  </r>
  <r>
    <s v="CUST021"/>
    <s v="Michael Anderson"/>
    <x v="1"/>
    <s v="Furniture"/>
    <n v="1186.8499999999999"/>
    <n v="19"/>
    <n v="0.2"/>
    <x v="30"/>
    <x v="48"/>
  </r>
  <r>
    <s v="CUST008"/>
    <s v="John Brown"/>
    <x v="2"/>
    <s v="Electronics"/>
    <n v="775.45"/>
    <n v="6"/>
    <n v="0.1"/>
    <x v="31"/>
    <x v="49"/>
  </r>
  <r>
    <s v="CUST007"/>
    <s v="Linda Jackson"/>
    <x v="2"/>
    <s v="Electronics"/>
    <n v="1021.47"/>
    <n v="6"/>
    <n v="0.05"/>
    <x v="32"/>
    <x v="50"/>
  </r>
  <r>
    <s v="CUST015"/>
    <s v="James Wilson"/>
    <x v="2"/>
    <s v="Clothing"/>
    <n v="1226.6199999999999"/>
    <n v="7"/>
    <n v="0.1"/>
    <x v="33"/>
    <x v="51"/>
  </r>
  <r>
    <s v="CUST030"/>
    <s v="Sarah Davis"/>
    <x v="2"/>
    <s v="Furniture"/>
    <n v="1086.93"/>
    <n v="2"/>
    <n v="0"/>
    <x v="34"/>
    <x v="52"/>
  </r>
  <r>
    <s v="CUST002"/>
    <s v="Lisa Davis"/>
    <x v="0"/>
    <s v="Books"/>
    <n v="942.9"/>
    <n v="18"/>
    <n v="0.1"/>
    <x v="35"/>
    <x v="53"/>
  </r>
  <r>
    <s v="CUST009"/>
    <s v="Emma Davis"/>
    <x v="3"/>
    <s v="Electronics"/>
    <n v="818.8"/>
    <n v="15"/>
    <n v="0.15"/>
    <x v="36"/>
    <x v="54"/>
  </r>
  <r>
    <s v="CUST005"/>
    <s v="Robert Anderson"/>
    <x v="2"/>
    <s v="Furniture"/>
    <n v="919.04"/>
    <n v="10"/>
    <n v="0.2"/>
    <x v="36"/>
    <x v="55"/>
  </r>
  <r>
    <s v="CUST030"/>
    <s v="Emma Taylor"/>
    <x v="4"/>
    <s v="Books"/>
    <n v="973.26"/>
    <n v="11"/>
    <n v="0"/>
    <x v="37"/>
    <x v="56"/>
  </r>
  <r>
    <s v="CUST029"/>
    <s v="Sarah Davis"/>
    <x v="3"/>
    <s v="Electronics"/>
    <n v="741.61"/>
    <n v="1"/>
    <n v="0.2"/>
    <x v="38"/>
    <x v="57"/>
  </r>
  <r>
    <s v="CUST003"/>
    <s v="Emma Davis"/>
    <x v="3"/>
    <s v="Books"/>
    <n v="1248.82"/>
    <n v="2"/>
    <n v="0.1"/>
    <x v="39"/>
    <x v="58"/>
  </r>
  <r>
    <s v="CUST012"/>
    <s v="Mary Wilson"/>
    <x v="0"/>
    <s v="Clothing"/>
    <n v="1360.36"/>
    <n v="17"/>
    <n v="0"/>
    <x v="39"/>
    <x v="59"/>
  </r>
  <r>
    <s v="CUST021"/>
    <s v="Mary Davis"/>
    <x v="1"/>
    <s v="Books"/>
    <n v="1383.3"/>
    <n v="8"/>
    <n v="0.1"/>
    <x v="40"/>
    <x v="60"/>
  </r>
  <r>
    <s v="CUST010"/>
    <s v="David Brown"/>
    <x v="4"/>
    <s v="Office Supplies"/>
    <n v="488.99"/>
    <n v="9"/>
    <n v="0"/>
    <x v="41"/>
    <x v="61"/>
  </r>
  <r>
    <s v="CUST026"/>
    <s v="Mary Davis"/>
    <x v="1"/>
    <s v="Furniture"/>
    <n v="933.71"/>
    <n v="17"/>
    <n v="0.1"/>
    <x v="42"/>
    <x v="62"/>
  </r>
  <r>
    <s v="CUST003"/>
    <s v="James Davis"/>
    <x v="0"/>
    <s v="Electronics"/>
    <n v="1005.53"/>
    <n v="17"/>
    <n v="0.2"/>
    <x v="42"/>
    <x v="63"/>
  </r>
  <r>
    <s v="CUST029"/>
    <s v="Emma Wilson"/>
    <x v="2"/>
    <s v="Electronics"/>
    <n v="1100.0999999999999"/>
    <n v="5"/>
    <n v="0.05"/>
    <x v="43"/>
    <x v="64"/>
  </r>
  <r>
    <s v="CUST003"/>
    <s v="James Wilson"/>
    <x v="3"/>
    <s v="Furniture"/>
    <n v="1034.7"/>
    <n v="15"/>
    <n v="0.15"/>
    <x v="44"/>
    <x v="65"/>
  </r>
  <r>
    <s v="CUST002"/>
    <s v="Mary Davis"/>
    <x v="2"/>
    <s v="Books"/>
    <n v="876.44"/>
    <n v="12"/>
    <n v="0.05"/>
    <x v="45"/>
    <x v="66"/>
  </r>
  <r>
    <s v="CUST020"/>
    <s v="David Brown"/>
    <x v="0"/>
    <s v="Furniture"/>
    <n v="1371.34"/>
    <n v="5"/>
    <n v="0.05"/>
    <x v="45"/>
    <x v="67"/>
  </r>
  <r>
    <s v="CUST021"/>
    <s v="Mary Jackson"/>
    <x v="3"/>
    <s v="Electronics"/>
    <n v="1020.26"/>
    <n v="11"/>
    <n v="0.05"/>
    <x v="46"/>
    <x v="68"/>
  </r>
  <r>
    <s v="CUST008"/>
    <s v="James Davis"/>
    <x v="4"/>
    <s v="Office Supplies"/>
    <n v="804.81"/>
    <n v="1"/>
    <n v="0.05"/>
    <x v="47"/>
    <x v="69"/>
  </r>
  <r>
    <s v="CUST030"/>
    <s v="David Brown"/>
    <x v="4"/>
    <s v="Electronics"/>
    <n v="608.66"/>
    <n v="1"/>
    <n v="0.05"/>
    <x v="48"/>
    <x v="70"/>
  </r>
  <r>
    <s v="CUST020"/>
    <s v="Linda Moore"/>
    <x v="2"/>
    <s v="Office Supplies"/>
    <n v="981.2"/>
    <n v="19"/>
    <n v="0"/>
    <x v="49"/>
    <x v="71"/>
  </r>
  <r>
    <s v="CUST024"/>
    <s v="David Brown"/>
    <x v="1"/>
    <s v="Electronics"/>
    <n v="539.77"/>
    <n v="10"/>
    <n v="0.15"/>
    <x v="50"/>
    <x v="72"/>
  </r>
  <r>
    <s v="CUST012"/>
    <s v="David Anderson"/>
    <x v="2"/>
    <s v="Books"/>
    <n v="804.45"/>
    <n v="5"/>
    <n v="0.2"/>
    <x v="50"/>
    <x v="73"/>
  </r>
  <r>
    <s v="CUST024"/>
    <s v="Emma Davis"/>
    <x v="0"/>
    <s v="Electronics"/>
    <n v="1526.6"/>
    <n v="13"/>
    <n v="0.2"/>
    <x v="51"/>
    <x v="74"/>
  </r>
  <r>
    <s v="CUST012"/>
    <s v="Linda Wilson"/>
    <x v="0"/>
    <s v="Electronics"/>
    <n v="1215.26"/>
    <n v="5"/>
    <n v="0.15"/>
    <x v="52"/>
    <x v="75"/>
  </r>
  <r>
    <s v="CUST005"/>
    <s v="Linda Taylor"/>
    <x v="4"/>
    <s v="Furniture"/>
    <n v="1261.3399999999999"/>
    <n v="3"/>
    <n v="0"/>
    <x v="53"/>
    <x v="76"/>
  </r>
  <r>
    <s v="CUST004"/>
    <s v="Lisa Thomas"/>
    <x v="3"/>
    <s v="Furniture"/>
    <n v="518.07000000000005"/>
    <n v="7"/>
    <n v="0.05"/>
    <x v="54"/>
    <x v="77"/>
  </r>
  <r>
    <s v="CUST026"/>
    <s v="Linda Wilson"/>
    <x v="0"/>
    <s v="Office Supplies"/>
    <n v="1111.3399999999999"/>
    <n v="1"/>
    <n v="0"/>
    <x v="55"/>
    <x v="78"/>
  </r>
  <r>
    <s v="CUST030"/>
    <s v="Mary Davis"/>
    <x v="1"/>
    <s v="Clothing"/>
    <n v="1291.47"/>
    <n v="18"/>
    <n v="0.1"/>
    <x v="56"/>
    <x v="79"/>
  </r>
  <r>
    <s v="CUST007"/>
    <s v="David Brown"/>
    <x v="3"/>
    <s v="Books"/>
    <n v="679.71"/>
    <n v="19"/>
    <n v="0"/>
    <x v="57"/>
    <x v="80"/>
  </r>
  <r>
    <s v="CUST020"/>
    <s v="Linda Jackson"/>
    <x v="1"/>
    <s v="Furniture"/>
    <n v="1143.69"/>
    <n v="17"/>
    <n v="0"/>
    <x v="57"/>
    <x v="81"/>
  </r>
  <r>
    <s v="CUST028"/>
    <s v="Linda Brown"/>
    <x v="4"/>
    <s v="Electronics"/>
    <n v="790.08"/>
    <n v="7"/>
    <n v="0.1"/>
    <x v="58"/>
    <x v="82"/>
  </r>
  <r>
    <s v="CUST005"/>
    <s v="Lisa Davis"/>
    <x v="4"/>
    <s v="Books"/>
    <n v="1070.68"/>
    <n v="7"/>
    <n v="0.05"/>
    <x v="58"/>
    <x v="83"/>
  </r>
  <r>
    <s v="CUST015"/>
    <s v="David Thomas"/>
    <x v="0"/>
    <s v="Clothing"/>
    <n v="1168.8900000000001"/>
    <n v="4"/>
    <n v="0.1"/>
    <x v="59"/>
    <x v="84"/>
  </r>
  <r>
    <s v="CUST003"/>
    <s v="James Davis"/>
    <x v="2"/>
    <s v="Electronics"/>
    <n v="1335.87"/>
    <n v="17"/>
    <n v="0"/>
    <x v="59"/>
    <x v="85"/>
  </r>
  <r>
    <s v="CUST023"/>
    <s v="David Brown"/>
    <x v="1"/>
    <s v="Furniture"/>
    <n v="873.7"/>
    <n v="9"/>
    <n v="0"/>
    <x v="60"/>
    <x v="86"/>
  </r>
  <r>
    <s v="CUST004"/>
    <s v="Sarah Davis"/>
    <x v="0"/>
    <s v="Office Supplies"/>
    <n v="1443.98"/>
    <n v="19"/>
    <n v="0"/>
    <x v="61"/>
    <x v="87"/>
  </r>
  <r>
    <s v="CUST023"/>
    <s v="James Wilson"/>
    <x v="1"/>
    <s v="Office Supplies"/>
    <n v="1154.33"/>
    <n v="11"/>
    <n v="0.15"/>
    <x v="62"/>
    <x v="88"/>
  </r>
  <r>
    <s v="CUST022"/>
    <s v="Linda Brown"/>
    <x v="2"/>
    <s v="Books"/>
    <n v="1264.49"/>
    <n v="16"/>
    <n v="0.05"/>
    <x v="62"/>
    <x v="89"/>
  </r>
  <r>
    <s v="CUST007"/>
    <s v="Emma Taylor"/>
    <x v="0"/>
    <s v="Furniture"/>
    <n v="1101.55"/>
    <n v="4"/>
    <n v="0.1"/>
    <x v="63"/>
    <x v="90"/>
  </r>
  <r>
    <s v="CUST013"/>
    <s v="Robert Anderson"/>
    <x v="2"/>
    <s v="Furniture"/>
    <n v="727.73"/>
    <n v="1"/>
    <n v="0.1"/>
    <x v="64"/>
    <x v="91"/>
  </r>
  <r>
    <s v="CUST027"/>
    <s v="Emma Davis"/>
    <x v="1"/>
    <s v="Office Supplies"/>
    <n v="875.41"/>
    <n v="13"/>
    <n v="0.15"/>
    <x v="64"/>
    <x v="92"/>
  </r>
  <r>
    <s v="CUST003"/>
    <s v="James Wilson"/>
    <x v="0"/>
    <s v="Electronics"/>
    <n v="1158.94"/>
    <n v="19"/>
    <n v="0.2"/>
    <x v="65"/>
    <x v="93"/>
  </r>
  <r>
    <s v="CUST018"/>
    <s v="Mary Jackson"/>
    <x v="2"/>
    <s v="Books"/>
    <n v="966.3"/>
    <n v="2"/>
    <n v="0.15"/>
    <x v="66"/>
    <x v="94"/>
  </r>
  <r>
    <s v="CUST020"/>
    <s v="James Taylor"/>
    <x v="2"/>
    <s v="Books"/>
    <n v="917.48"/>
    <n v="6"/>
    <n v="0"/>
    <x v="67"/>
    <x v="95"/>
  </r>
  <r>
    <s v="CUST029"/>
    <s v="Emma Wilson"/>
    <x v="0"/>
    <s v="Furniture"/>
    <n v="1172.97"/>
    <n v="7"/>
    <n v="0.15"/>
    <x v="68"/>
    <x v="96"/>
  </r>
  <r>
    <s v="CUST021"/>
    <s v="James Wilson"/>
    <x v="3"/>
    <s v="Clothing"/>
    <n v="1205.82"/>
    <n v="11"/>
    <n v="0.1"/>
    <x v="68"/>
    <x v="97"/>
  </r>
  <r>
    <s v="CUST017"/>
    <s v="Sarah Davis"/>
    <x v="0"/>
    <s v="Office Supplies"/>
    <n v="826.93"/>
    <n v="10"/>
    <n v="0.2"/>
    <x v="69"/>
    <x v="98"/>
  </r>
  <r>
    <s v="CUST003"/>
    <s v="James Wilson"/>
    <x v="4"/>
    <s v="Clothing"/>
    <n v="902.19"/>
    <n v="12"/>
    <n v="0"/>
    <x v="69"/>
    <x v="99"/>
  </r>
  <r>
    <s v="CUST027"/>
    <s v="Emma Davis"/>
    <x v="3"/>
    <s v="Books"/>
    <n v="585.97"/>
    <n v="17"/>
    <n v="0.1"/>
    <x v="70"/>
    <x v="100"/>
  </r>
  <r>
    <s v="CUST016"/>
    <s v="Michael Anderson"/>
    <x v="3"/>
    <s v="Clothing"/>
    <n v="990.19"/>
    <n v="8"/>
    <n v="0.1"/>
    <x v="70"/>
    <x v="101"/>
  </r>
  <r>
    <s v="CUST008"/>
    <s v="David Davis"/>
    <x v="4"/>
    <s v="Electronics"/>
    <n v="1014.09"/>
    <n v="13"/>
    <n v="0.2"/>
    <x v="71"/>
    <x v="102"/>
  </r>
  <r>
    <s v="CUST012"/>
    <s v="Lisa Davis"/>
    <x v="3"/>
    <s v="Electronics"/>
    <n v="925.29"/>
    <n v="17"/>
    <n v="0"/>
    <x v="72"/>
    <x v="103"/>
  </r>
  <r>
    <s v="CUST025"/>
    <s v="Mary Jackson"/>
    <x v="1"/>
    <s v="Furniture"/>
    <n v="1286.54"/>
    <n v="8"/>
    <n v="0"/>
    <x v="73"/>
    <x v="104"/>
  </r>
  <r>
    <s v="CUST014"/>
    <s v="Sarah Davis"/>
    <x v="2"/>
    <s v="Books"/>
    <n v="961.62"/>
    <n v="8"/>
    <n v="0.2"/>
    <x v="74"/>
    <x v="105"/>
  </r>
  <r>
    <s v="CUST008"/>
    <s v="James Wilson"/>
    <x v="1"/>
    <s v="Books"/>
    <n v="1081.1400000000001"/>
    <n v="19"/>
    <n v="0.15"/>
    <x v="74"/>
    <x v="106"/>
  </r>
  <r>
    <s v="CUST015"/>
    <s v="James Wilson"/>
    <x v="0"/>
    <s v="Clothing"/>
    <n v="1923.66"/>
    <n v="9"/>
    <n v="0.2"/>
    <x v="75"/>
    <x v="107"/>
  </r>
  <r>
    <s v="CUST025"/>
    <s v="Emma Taylor"/>
    <x v="4"/>
    <s v="Clothing"/>
    <n v="728.71"/>
    <n v="14"/>
    <n v="0.1"/>
    <x v="76"/>
    <x v="108"/>
  </r>
  <r>
    <s v="CUST019"/>
    <s v="Linda Jackson"/>
    <x v="4"/>
    <s v="Clothing"/>
    <n v="1301.8900000000001"/>
    <n v="7"/>
    <n v="0.15"/>
    <x v="76"/>
    <x v="109"/>
  </r>
  <r>
    <s v="CUST024"/>
    <s v="Emma Taylor"/>
    <x v="1"/>
    <s v="Books"/>
    <n v="980.18"/>
    <n v="16"/>
    <n v="0.1"/>
    <x v="77"/>
    <x v="110"/>
  </r>
  <r>
    <s v="CUST027"/>
    <s v="James Wilson"/>
    <x v="0"/>
    <s v="Clothing"/>
    <n v="697.57"/>
    <n v="17"/>
    <n v="0.1"/>
    <x v="78"/>
    <x v="111"/>
  </r>
  <r>
    <s v="CUST006"/>
    <s v="David Anderson"/>
    <x v="0"/>
    <s v="Furniture"/>
    <n v="1193.6099999999999"/>
    <n v="1"/>
    <n v="0.15"/>
    <x v="78"/>
    <x v="112"/>
  </r>
  <r>
    <s v="CUST009"/>
    <s v="Emma Davis"/>
    <x v="2"/>
    <s v="Electronics"/>
    <n v="771.02"/>
    <n v="1"/>
    <n v="0"/>
    <x v="79"/>
    <x v="113"/>
  </r>
  <r>
    <s v="CUST003"/>
    <s v="Linda Moore"/>
    <x v="3"/>
    <s v="Clothing"/>
    <n v="661.09"/>
    <n v="1"/>
    <n v="0.2"/>
    <x v="80"/>
    <x v="114"/>
  </r>
  <r>
    <s v="CUST012"/>
    <s v="David Brown"/>
    <x v="0"/>
    <s v="Electronics"/>
    <n v="688.83"/>
    <n v="15"/>
    <n v="0"/>
    <x v="81"/>
    <x v="115"/>
  </r>
  <r>
    <s v="CUST013"/>
    <s v="Linda Wilson"/>
    <x v="4"/>
    <s v="Books"/>
    <n v="1249.0999999999999"/>
    <n v="4"/>
    <n v="0.05"/>
    <x v="82"/>
    <x v="116"/>
  </r>
  <r>
    <s v="CUST008"/>
    <s v="James Wilson"/>
    <x v="1"/>
    <s v="Office Supplies"/>
    <n v="1014.22"/>
    <n v="14"/>
    <n v="0.05"/>
    <x v="83"/>
    <x v="117"/>
  </r>
  <r>
    <s v="CUST025"/>
    <s v="Lisa Davis"/>
    <x v="1"/>
    <s v="Books"/>
    <n v="1010.58"/>
    <n v="2"/>
    <n v="0.15"/>
    <x v="84"/>
    <x v="118"/>
  </r>
  <r>
    <s v="CUST026"/>
    <s v="Mary Wilson"/>
    <x v="3"/>
    <s v="Furniture"/>
    <n v="957.29"/>
    <n v="4"/>
    <n v="0.05"/>
    <x v="84"/>
    <x v="119"/>
  </r>
  <r>
    <s v="CUST001"/>
    <s v="Lisa Thomas"/>
    <x v="3"/>
    <s v="Furniture"/>
    <n v="1077.92"/>
    <n v="3"/>
    <n v="0.05"/>
    <x v="85"/>
    <x v="120"/>
  </r>
  <r>
    <s v="CUST028"/>
    <s v="Linda Brown"/>
    <x v="2"/>
    <s v="Clothing"/>
    <n v="1163.01"/>
    <n v="5"/>
    <n v="0"/>
    <x v="86"/>
    <x v="121"/>
  </r>
  <r>
    <s v="CUST025"/>
    <s v="Lisa Thomas"/>
    <x v="1"/>
    <s v="Office Supplies"/>
    <n v="1014.56"/>
    <n v="10"/>
    <n v="0.1"/>
    <x v="87"/>
    <x v="122"/>
  </r>
  <r>
    <s v="CUST019"/>
    <s v="James Taylor"/>
    <x v="2"/>
    <s v="Electronics"/>
    <n v="718.04"/>
    <n v="14"/>
    <n v="0"/>
    <x v="88"/>
    <x v="123"/>
  </r>
  <r>
    <s v="CUST004"/>
    <s v="James Taylor"/>
    <x v="4"/>
    <s v="Clothing"/>
    <n v="1277.8499999999999"/>
    <n v="18"/>
    <n v="0.2"/>
    <x v="88"/>
    <x v="124"/>
  </r>
  <r>
    <s v="CUST024"/>
    <s v="James Wilson"/>
    <x v="3"/>
    <s v="Electronics"/>
    <n v="706.73"/>
    <n v="1"/>
    <n v="0.15"/>
    <x v="88"/>
    <x v="125"/>
  </r>
  <r>
    <s v="CUST002"/>
    <s v="Linda Brown"/>
    <x v="1"/>
    <s v="Electronics"/>
    <n v="1410.59"/>
    <n v="15"/>
    <n v="0"/>
    <x v="89"/>
    <x v="126"/>
  </r>
  <r>
    <s v="CUST009"/>
    <s v="Emma Wilson"/>
    <x v="2"/>
    <s v="Furniture"/>
    <n v="1350.33"/>
    <n v="10"/>
    <n v="0"/>
    <x v="89"/>
    <x v="127"/>
  </r>
  <r>
    <s v="CUST029"/>
    <s v="Lisa Thomas"/>
    <x v="1"/>
    <s v="Electronics"/>
    <n v="919.18"/>
    <n v="4"/>
    <n v="0.15"/>
    <x v="89"/>
    <x v="128"/>
  </r>
  <r>
    <s v="CUST027"/>
    <s v="James Wilson"/>
    <x v="0"/>
    <s v="Electronics"/>
    <n v="258.51"/>
    <n v="19"/>
    <n v="0"/>
    <x v="90"/>
    <x v="129"/>
  </r>
  <r>
    <s v="CUST011"/>
    <s v="Emma Wilson"/>
    <x v="1"/>
    <s v="Books"/>
    <n v="1213.48"/>
    <n v="5"/>
    <n v="0.05"/>
    <x v="90"/>
    <x v="130"/>
  </r>
  <r>
    <s v="CUST021"/>
    <s v="Emma Davis"/>
    <x v="4"/>
    <s v="Books"/>
    <n v="1150.28"/>
    <n v="8"/>
    <n v="0.05"/>
    <x v="91"/>
    <x v="131"/>
  </r>
  <r>
    <s v="CUST014"/>
    <s v="David Anderson"/>
    <x v="2"/>
    <s v="Furniture"/>
    <n v="853.86"/>
    <n v="8"/>
    <n v="0.1"/>
    <x v="91"/>
    <x v="132"/>
  </r>
  <r>
    <s v="CUST018"/>
    <s v="Lisa Thomas"/>
    <x v="2"/>
    <s v="Electronics"/>
    <n v="1061.04"/>
    <n v="1"/>
    <n v="0"/>
    <x v="92"/>
    <x v="133"/>
  </r>
  <r>
    <s v="CUST001"/>
    <s v="Sarah Anderson"/>
    <x v="0"/>
    <s v="Electronics"/>
    <n v="894.55"/>
    <n v="19"/>
    <n v="0.2"/>
    <x v="93"/>
    <x v="134"/>
  </r>
  <r>
    <s v="CUST007"/>
    <s v="Emma Davis"/>
    <x v="3"/>
    <s v="Office Supplies"/>
    <n v="833.91"/>
    <n v="3"/>
    <n v="0.05"/>
    <x v="94"/>
    <x v="135"/>
  </r>
  <r>
    <s v="CUST015"/>
    <s v="David Anderson"/>
    <x v="0"/>
    <s v="Furniture"/>
    <n v="820.19"/>
    <n v="4"/>
    <n v="0.2"/>
    <x v="95"/>
    <x v="136"/>
  </r>
  <r>
    <s v="CUST015"/>
    <s v="Emma Davis"/>
    <x v="4"/>
    <s v="Electronics"/>
    <n v="511.74"/>
    <n v="8"/>
    <n v="0.05"/>
    <x v="96"/>
    <x v="137"/>
  </r>
  <r>
    <s v="CUST002"/>
    <s v="Emma Wilson"/>
    <x v="2"/>
    <s v="Furniture"/>
    <n v="806.03"/>
    <n v="19"/>
    <n v="0.05"/>
    <x v="97"/>
    <x v="138"/>
  </r>
  <r>
    <s v="CUST001"/>
    <s v="Michael Anderson"/>
    <x v="4"/>
    <s v="Furniture"/>
    <n v="1432.47"/>
    <n v="16"/>
    <n v="0.15"/>
    <x v="98"/>
    <x v="139"/>
  </r>
  <r>
    <s v="CUST027"/>
    <s v="Linda Wilson"/>
    <x v="4"/>
    <s v="Electronics"/>
    <n v="1488.58"/>
    <n v="10"/>
    <n v="0.15"/>
    <x v="98"/>
    <x v="140"/>
  </r>
  <r>
    <s v="CUST026"/>
    <s v="Emma Taylor"/>
    <x v="1"/>
    <s v="Books"/>
    <n v="1231.26"/>
    <n v="9"/>
    <n v="0"/>
    <x v="99"/>
    <x v="141"/>
  </r>
  <r>
    <s v="CUST026"/>
    <s v="Sarah Anderson"/>
    <x v="0"/>
    <s v="Electronics"/>
    <n v="1161.67"/>
    <n v="19"/>
    <n v="0.2"/>
    <x v="100"/>
    <x v="142"/>
  </r>
  <r>
    <s v="CUST022"/>
    <s v="Lisa Thomas"/>
    <x v="4"/>
    <s v="Office Supplies"/>
    <n v="388.23"/>
    <n v="16"/>
    <n v="0.05"/>
    <x v="101"/>
    <x v="143"/>
  </r>
  <r>
    <s v="CUST004"/>
    <s v="Mary Davis"/>
    <x v="3"/>
    <s v="Clothing"/>
    <n v="1589.42"/>
    <n v="6"/>
    <n v="0.15"/>
    <x v="102"/>
    <x v="144"/>
  </r>
  <r>
    <s v="CUST001"/>
    <s v="David Anderson"/>
    <x v="3"/>
    <s v="Clothing"/>
    <n v="336.66"/>
    <n v="13"/>
    <n v="0.2"/>
    <x v="102"/>
    <x v="145"/>
  </r>
  <r>
    <s v="CUST022"/>
    <s v="James Wilson"/>
    <x v="0"/>
    <s v="Books"/>
    <n v="1353.79"/>
    <n v="14"/>
    <n v="0.1"/>
    <x v="103"/>
    <x v="146"/>
  </r>
  <r>
    <s v="CUST011"/>
    <s v="Linda Moore"/>
    <x v="4"/>
    <s v="Clothing"/>
    <n v="662.61"/>
    <n v="11"/>
    <n v="0.05"/>
    <x v="104"/>
    <x v="147"/>
  </r>
  <r>
    <s v="CUST028"/>
    <s v="Lisa Davis"/>
    <x v="3"/>
    <s v="Office Supplies"/>
    <n v="309.42"/>
    <n v="1"/>
    <n v="0.2"/>
    <x v="104"/>
    <x v="148"/>
  </r>
  <r>
    <s v="CUST011"/>
    <s v="Linda Wilson"/>
    <x v="3"/>
    <s v="Books"/>
    <n v="884.63"/>
    <n v="18"/>
    <n v="0.1"/>
    <x v="105"/>
    <x v="149"/>
  </r>
  <r>
    <s v="CUST028"/>
    <s v="James Wilson"/>
    <x v="4"/>
    <s v="Office Supplies"/>
    <n v="745.05"/>
    <n v="10"/>
    <n v="0.1"/>
    <x v="106"/>
    <x v="150"/>
  </r>
  <r>
    <s v="CUST016"/>
    <s v="James Taylor"/>
    <x v="2"/>
    <s v="Clothing"/>
    <n v="870.23"/>
    <n v="5"/>
    <n v="0.05"/>
    <x v="106"/>
    <x v="151"/>
  </r>
  <r>
    <s v="CUST010"/>
    <s v="Linda Wilson"/>
    <x v="0"/>
    <s v="Furniture"/>
    <n v="862.19"/>
    <n v="18"/>
    <n v="0.05"/>
    <x v="107"/>
    <x v="152"/>
  </r>
  <r>
    <s v="CUST013"/>
    <s v="Mary Wilson"/>
    <x v="3"/>
    <s v="Clothing"/>
    <n v="1171.18"/>
    <n v="19"/>
    <n v="0.05"/>
    <x v="108"/>
    <x v="153"/>
  </r>
  <r>
    <s v="CUST015"/>
    <s v="Robert Anderson"/>
    <x v="2"/>
    <s v="Furniture"/>
    <n v="1054.56"/>
    <n v="11"/>
    <n v="0.1"/>
    <x v="109"/>
    <x v="154"/>
  </r>
  <r>
    <s v="CUST015"/>
    <s v="James Wilson"/>
    <x v="3"/>
    <s v="Electronics"/>
    <n v="1681.21"/>
    <n v="5"/>
    <n v="0.2"/>
    <x v="110"/>
    <x v="155"/>
  </r>
  <r>
    <s v="CUST015"/>
    <s v="David Thomas"/>
    <x v="0"/>
    <s v="Clothing"/>
    <n v="379.77"/>
    <n v="9"/>
    <n v="0.05"/>
    <x v="111"/>
    <x v="156"/>
  </r>
  <r>
    <s v="CUST008"/>
    <s v="Lisa Thomas"/>
    <x v="4"/>
    <s v="Clothing"/>
    <n v="1076.33"/>
    <n v="2"/>
    <n v="0.1"/>
    <x v="112"/>
    <x v="157"/>
  </r>
  <r>
    <s v="CUST008"/>
    <s v="Mary Davis"/>
    <x v="4"/>
    <s v="Office Supplies"/>
    <n v="1250.71"/>
    <n v="7"/>
    <n v="0"/>
    <x v="112"/>
    <x v="158"/>
  </r>
  <r>
    <s v="CUST023"/>
    <s v="James Taylor"/>
    <x v="2"/>
    <s v="Clothing"/>
    <n v="1118.3399999999999"/>
    <n v="6"/>
    <n v="0.2"/>
    <x v="112"/>
    <x v="159"/>
  </r>
  <r>
    <s v="CUST024"/>
    <s v="Linda Taylor"/>
    <x v="3"/>
    <s v="Clothing"/>
    <n v="1622.62"/>
    <n v="12"/>
    <n v="0.2"/>
    <x v="113"/>
    <x v="160"/>
  </r>
  <r>
    <s v="CUST018"/>
    <s v="Lisa Davis"/>
    <x v="3"/>
    <s v="Books"/>
    <n v="640.64"/>
    <n v="11"/>
    <n v="0.2"/>
    <x v="114"/>
    <x v="161"/>
  </r>
  <r>
    <s v="CUST030"/>
    <s v="Sarah Anderson"/>
    <x v="0"/>
    <s v="Clothing"/>
    <n v="585.16"/>
    <n v="17"/>
    <n v="0.1"/>
    <x v="115"/>
    <x v="162"/>
  </r>
  <r>
    <s v="CUST030"/>
    <s v="Mary Davis"/>
    <x v="1"/>
    <s v="Clothing"/>
    <n v="1109.98"/>
    <n v="5"/>
    <n v="0.2"/>
    <x v="116"/>
    <x v="163"/>
  </r>
  <r>
    <s v="CUST015"/>
    <s v="Lisa Thomas"/>
    <x v="1"/>
    <s v="Books"/>
    <n v="1098.08"/>
    <n v="9"/>
    <n v="0.1"/>
    <x v="117"/>
    <x v="164"/>
  </r>
  <r>
    <s v="CUST002"/>
    <s v="Lisa Davis"/>
    <x v="0"/>
    <s v="Office Supplies"/>
    <n v="827.25"/>
    <n v="7"/>
    <n v="0.1"/>
    <x v="118"/>
    <x v="165"/>
  </r>
  <r>
    <s v="CUST024"/>
    <s v="Linda Wilson"/>
    <x v="4"/>
    <s v="Clothing"/>
    <n v="741.88"/>
    <n v="16"/>
    <n v="0.1"/>
    <x v="119"/>
    <x v="166"/>
  </r>
  <r>
    <s v="CUST004"/>
    <s v="James Davis"/>
    <x v="1"/>
    <s v="Office Supplies"/>
    <n v="1311.26"/>
    <n v="6"/>
    <n v="0.1"/>
    <x v="120"/>
    <x v="167"/>
  </r>
  <r>
    <s v="CUST004"/>
    <s v="Mary Davis"/>
    <x v="2"/>
    <s v="Office Supplies"/>
    <n v="573.32000000000005"/>
    <n v="19"/>
    <n v="0.1"/>
    <x v="121"/>
    <x v="168"/>
  </r>
  <r>
    <s v="CUST028"/>
    <s v="James Wilson"/>
    <x v="0"/>
    <s v="Electronics"/>
    <n v="1115.22"/>
    <n v="14"/>
    <n v="0.2"/>
    <x v="122"/>
    <x v="169"/>
  </r>
  <r>
    <s v="CUST012"/>
    <s v="Lisa Thomas"/>
    <x v="3"/>
    <s v="Clothing"/>
    <n v="845.84"/>
    <n v="4"/>
    <n v="0"/>
    <x v="123"/>
    <x v="170"/>
  </r>
  <r>
    <s v="CUST026"/>
    <s v="David Brown"/>
    <x v="0"/>
    <s v="Electronics"/>
    <n v="1029.8"/>
    <n v="3"/>
    <n v="0"/>
    <x v="124"/>
    <x v="171"/>
  </r>
  <r>
    <s v="CUST009"/>
    <s v="Mary Davis"/>
    <x v="3"/>
    <s v="Books"/>
    <n v="1189.83"/>
    <n v="2"/>
    <n v="0.2"/>
    <x v="125"/>
    <x v="172"/>
  </r>
  <r>
    <s v="CUST003"/>
    <s v="Sarah Anderson"/>
    <x v="2"/>
    <s v="Books"/>
    <n v="704.28"/>
    <n v="15"/>
    <n v="0.2"/>
    <x v="126"/>
    <x v="173"/>
  </r>
  <r>
    <s v="CUST002"/>
    <s v="Mary Jackson"/>
    <x v="4"/>
    <s v="Office Supplies"/>
    <n v="1618.22"/>
    <n v="12"/>
    <n v="0.2"/>
    <x v="126"/>
    <x v="174"/>
  </r>
  <r>
    <s v="CUST013"/>
    <s v="Linda Taylor"/>
    <x v="4"/>
    <s v="Books"/>
    <n v="1014.43"/>
    <n v="2"/>
    <n v="0.15"/>
    <x v="127"/>
    <x v="175"/>
  </r>
  <r>
    <s v="CUST018"/>
    <s v="Mary Davis"/>
    <x v="4"/>
    <s v="Clothing"/>
    <n v="826.97"/>
    <n v="18"/>
    <n v="0.2"/>
    <x v="128"/>
    <x v="176"/>
  </r>
  <r>
    <s v="CUST017"/>
    <s v="Mary Davis"/>
    <x v="4"/>
    <s v="Clothing"/>
    <n v="1022.23"/>
    <n v="8"/>
    <n v="0.1"/>
    <x v="129"/>
    <x v="177"/>
  </r>
  <r>
    <s v="CUST004"/>
    <s v="Linda Wilson"/>
    <x v="1"/>
    <s v="Books"/>
    <n v="1099.69"/>
    <n v="6"/>
    <n v="0"/>
    <x v="130"/>
    <x v="178"/>
  </r>
  <r>
    <s v="CUST028"/>
    <s v="Sarah Davis"/>
    <x v="3"/>
    <s v="Books"/>
    <n v="710.52"/>
    <n v="8"/>
    <n v="0.1"/>
    <x v="131"/>
    <x v="179"/>
  </r>
  <r>
    <s v="CUST028"/>
    <s v="Mary Wilson"/>
    <x v="3"/>
    <s v="Books"/>
    <n v="499.18"/>
    <n v="15"/>
    <n v="0.2"/>
    <x v="132"/>
    <x v="180"/>
  </r>
  <r>
    <s v="CUST014"/>
    <s v="Emma Davis"/>
    <x v="2"/>
    <s v="Books"/>
    <n v="1064.19"/>
    <n v="18"/>
    <n v="0.05"/>
    <x v="133"/>
    <x v="181"/>
  </r>
  <r>
    <s v="CUST003"/>
    <s v="Emma Davis"/>
    <x v="1"/>
    <s v="Office Supplies"/>
    <n v="438.76"/>
    <n v="18"/>
    <n v="0.05"/>
    <x v="134"/>
    <x v="182"/>
  </r>
  <r>
    <s v="CUST029"/>
    <s v="David Brown"/>
    <x v="0"/>
    <s v="Clothing"/>
    <n v="864.98"/>
    <n v="2"/>
    <n v="0.05"/>
    <x v="135"/>
    <x v="183"/>
  </r>
  <r>
    <s v="CUST021"/>
    <s v="David Brown"/>
    <x v="0"/>
    <s v="Furniture"/>
    <n v="984.93"/>
    <n v="14"/>
    <n v="0.2"/>
    <x v="136"/>
    <x v="184"/>
  </r>
  <r>
    <s v="CUST007"/>
    <s v="David Brown"/>
    <x v="0"/>
    <s v="Clothing"/>
    <n v="1493.49"/>
    <n v="18"/>
    <n v="0"/>
    <x v="137"/>
    <x v="185"/>
  </r>
  <r>
    <s v="CUST009"/>
    <s v="Linda Taylor"/>
    <x v="2"/>
    <s v="Clothing"/>
    <n v="689.43"/>
    <n v="9"/>
    <n v="0.1"/>
    <x v="138"/>
    <x v="186"/>
  </r>
  <r>
    <s v="CUST023"/>
    <s v="Mary Wilson"/>
    <x v="2"/>
    <s v="Clothing"/>
    <n v="682.24"/>
    <n v="1"/>
    <n v="0"/>
    <x v="139"/>
    <x v="187"/>
  </r>
  <r>
    <s v="CUST029"/>
    <s v="Michael Anderson"/>
    <x v="3"/>
    <s v="Electronics"/>
    <n v="458.54"/>
    <n v="15"/>
    <n v="0.2"/>
    <x v="140"/>
    <x v="188"/>
  </r>
  <r>
    <s v="CUST009"/>
    <s v="Michael Anderson"/>
    <x v="2"/>
    <s v="Furniture"/>
    <n v="1184.25"/>
    <n v="11"/>
    <n v="0.2"/>
    <x v="141"/>
    <x v="189"/>
  </r>
  <r>
    <s v="CUST007"/>
    <s v="James Davis"/>
    <x v="2"/>
    <s v="Clothing"/>
    <n v="762.14"/>
    <n v="9"/>
    <n v="0"/>
    <x v="142"/>
    <x v="190"/>
  </r>
  <r>
    <s v="CUST030"/>
    <s v="Linda Taylor"/>
    <x v="3"/>
    <s v="Books"/>
    <n v="750.71"/>
    <n v="10"/>
    <n v="0.15"/>
    <x v="142"/>
    <x v="191"/>
  </r>
  <r>
    <s v="CUST018"/>
    <s v="David Anderson"/>
    <x v="4"/>
    <s v="Clothing"/>
    <n v="1456.94"/>
    <n v="14"/>
    <n v="0.05"/>
    <x v="143"/>
    <x v="192"/>
  </r>
  <r>
    <s v="CUST008"/>
    <s v="Emma Wilson"/>
    <x v="1"/>
    <s v="Furniture"/>
    <n v="1093.3800000000001"/>
    <n v="17"/>
    <n v="0.1"/>
    <x v="143"/>
    <x v="193"/>
  </r>
  <r>
    <s v="CUST014"/>
    <s v="Sarah Anderson"/>
    <x v="0"/>
    <s v="Clothing"/>
    <n v="934.27"/>
    <n v="8"/>
    <n v="0.15"/>
    <x v="144"/>
    <x v="194"/>
  </r>
  <r>
    <s v="CUST024"/>
    <s v="David Thomas"/>
    <x v="4"/>
    <s v="Clothing"/>
    <n v="1465.35"/>
    <n v="8"/>
    <n v="0.2"/>
    <x v="144"/>
    <x v="195"/>
  </r>
  <r>
    <s v="CUST028"/>
    <s v="Robert Anderson"/>
    <x v="2"/>
    <s v="Office Supplies"/>
    <n v="740.8"/>
    <n v="3"/>
    <n v="0"/>
    <x v="145"/>
    <x v="196"/>
  </r>
  <r>
    <s v="CUST015"/>
    <s v="Sarah Anderson"/>
    <x v="0"/>
    <s v="Office Supplies"/>
    <n v="545.44000000000005"/>
    <n v="17"/>
    <n v="0"/>
    <x v="146"/>
    <x v="197"/>
  </r>
  <r>
    <s v="CUST010"/>
    <s v="David Thomas"/>
    <x v="1"/>
    <s v="Books"/>
    <n v="997.61"/>
    <n v="8"/>
    <n v="0.05"/>
    <x v="146"/>
    <x v="198"/>
  </r>
  <r>
    <s v="CUST016"/>
    <s v="David Thomas"/>
    <x v="2"/>
    <s v="Clothing"/>
    <n v="928.32"/>
    <n v="2"/>
    <n v="0.05"/>
    <x v="147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34272-87D7-4618-ADC8-B672F9F6A8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B58" firstHeaderRow="1" firstDataRow="1" firstDataCol="1"/>
  <pivotFields count="7"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5"/>
  </rowFields>
  <rowItems count="16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16F99-2410-4AF1-B368-07A3EF723FD5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22:F28" firstHeaderRow="1" firstDataRow="1" firstDataCol="1"/>
  <pivotFields count="12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87E5E-CA39-4D51-97AD-757786B546E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M2:N15" firstHeaderRow="1" firstDataRow="1" firstDataCol="1"/>
  <pivotFields count="12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>
      <items count="201">
        <item x="129"/>
        <item x="21"/>
        <item x="188"/>
        <item x="148"/>
        <item x="72"/>
        <item x="137"/>
        <item x="145"/>
        <item x="70"/>
        <item x="57"/>
        <item x="125"/>
        <item x="35"/>
        <item x="14"/>
        <item x="180"/>
        <item x="29"/>
        <item x="19"/>
        <item x="3"/>
        <item x="143"/>
        <item x="115"/>
        <item x="77"/>
        <item x="54"/>
        <item x="49"/>
        <item x="23"/>
        <item x="82"/>
        <item x="134"/>
        <item x="123"/>
        <item x="156"/>
        <item x="182"/>
        <item x="8"/>
        <item x="113"/>
        <item x="128"/>
        <item x="39"/>
        <item x="63"/>
        <item x="102"/>
        <item x="17"/>
        <item x="161"/>
        <item x="100"/>
        <item x="42"/>
        <item x="45"/>
        <item x="33"/>
        <item x="61"/>
        <item x="169"/>
        <item x="173"/>
        <item x="91"/>
        <item x="136"/>
        <item x="38"/>
        <item x="103"/>
        <item x="93"/>
        <item x="168"/>
        <item x="142"/>
        <item x="26"/>
        <item x="68"/>
        <item x="50"/>
        <item x="197"/>
        <item x="32"/>
        <item x="191"/>
        <item x="179"/>
        <item x="55"/>
        <item x="73"/>
        <item x="171"/>
        <item x="75"/>
        <item x="64"/>
        <item x="162"/>
        <item x="114"/>
        <item x="133"/>
        <item x="138"/>
        <item x="132"/>
        <item x="4"/>
        <item x="80"/>
        <item x="13"/>
        <item x="184"/>
        <item x="2"/>
        <item x="152"/>
        <item x="25"/>
        <item x="62"/>
        <item x="22"/>
        <item x="98"/>
        <item x="16"/>
        <item x="15"/>
        <item x="7"/>
        <item x="150"/>
        <item x="43"/>
        <item x="5"/>
        <item x="74"/>
        <item x="86"/>
        <item x="105"/>
        <item x="65"/>
        <item x="186"/>
        <item x="6"/>
        <item x="111"/>
        <item x="147"/>
        <item x="140"/>
        <item x="119"/>
        <item x="149"/>
        <item x="30"/>
        <item x="108"/>
        <item x="94"/>
        <item x="176"/>
        <item x="0"/>
        <item x="189"/>
        <item x="154"/>
        <item x="48"/>
        <item x="66"/>
        <item x="196"/>
        <item x="166"/>
        <item x="85"/>
        <item x="92"/>
        <item x="165"/>
        <item x="155"/>
        <item x="53"/>
        <item x="187"/>
        <item x="118"/>
        <item x="69"/>
        <item x="193"/>
        <item x="175"/>
        <item x="90"/>
        <item x="96"/>
        <item x="9"/>
        <item x="126"/>
        <item x="110"/>
        <item x="112"/>
        <item x="135"/>
        <item x="27"/>
        <item x="120"/>
        <item x="36"/>
        <item x="44"/>
        <item x="95"/>
        <item x="106"/>
        <item x="41"/>
        <item x="24"/>
        <item x="198"/>
        <item x="52"/>
        <item x="172"/>
        <item x="190"/>
        <item x="31"/>
        <item x="56"/>
        <item x="164"/>
        <item x="194"/>
        <item x="28"/>
        <item x="81"/>
        <item x="181"/>
        <item x="83"/>
        <item x="183"/>
        <item x="122"/>
        <item x="151"/>
        <item x="40"/>
        <item x="170"/>
        <item x="139"/>
        <item x="117"/>
        <item x="131"/>
        <item x="178"/>
        <item x="1"/>
        <item x="199"/>
        <item x="76"/>
        <item x="88"/>
        <item x="71"/>
        <item x="163"/>
        <item x="101"/>
        <item x="159"/>
        <item x="58"/>
        <item x="104"/>
        <item x="47"/>
        <item x="99"/>
        <item x="12"/>
        <item x="67"/>
        <item x="11"/>
        <item x="177"/>
        <item x="130"/>
        <item x="46"/>
        <item x="37"/>
        <item x="127"/>
        <item x="116"/>
        <item x="20"/>
        <item x="89"/>
        <item x="18"/>
        <item x="157"/>
        <item x="146"/>
        <item x="141"/>
        <item x="60"/>
        <item x="78"/>
        <item x="124"/>
        <item x="34"/>
        <item x="84"/>
        <item x="167"/>
        <item x="97"/>
        <item x="51"/>
        <item x="109"/>
        <item x="153"/>
        <item x="158"/>
        <item x="79"/>
        <item x="121"/>
        <item x="174"/>
        <item x="195"/>
        <item x="160"/>
        <item x="87"/>
        <item x="10"/>
        <item x="144"/>
        <item x="59"/>
        <item x="192"/>
        <item x="185"/>
        <item x="10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27DC3-E7A4-42C5-AC4A-40D7AA4C8EB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34" firstHeaderRow="1" firstDataRow="1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2">
    <field x="2"/>
    <field x="3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zoomScale="92" workbookViewId="0">
      <selection activeCell="L16" sqref="L16"/>
    </sheetView>
  </sheetViews>
  <sheetFormatPr defaultColWidth="9" defaultRowHeight="14.4"/>
  <cols>
    <col min="1" max="1" width="11.6640625" customWidth="1"/>
    <col min="2" max="2" width="15.33203125" customWidth="1"/>
    <col min="4" max="4" width="15.44140625" customWidth="1"/>
    <col min="8" max="8" width="11.5546875" customWidth="1"/>
  </cols>
  <sheetData>
    <row r="1" spans="1:9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</row>
    <row r="2" spans="1:9">
      <c r="A2" s="7" t="s">
        <v>9</v>
      </c>
      <c r="B2" s="7" t="s">
        <v>10</v>
      </c>
      <c r="C2" s="7" t="s">
        <v>11</v>
      </c>
      <c r="D2" s="7" t="s">
        <v>12</v>
      </c>
      <c r="E2" s="7">
        <v>1036.0899999999999</v>
      </c>
      <c r="F2" s="7">
        <v>4</v>
      </c>
      <c r="G2" s="7">
        <v>0.2</v>
      </c>
      <c r="H2" s="31">
        <v>45392</v>
      </c>
      <c r="I2" s="7">
        <v>331.55</v>
      </c>
    </row>
    <row r="3" spans="1:9">
      <c r="A3" s="7" t="s">
        <v>13</v>
      </c>
      <c r="B3" s="7" t="s">
        <v>14</v>
      </c>
      <c r="C3" s="7" t="s">
        <v>11</v>
      </c>
      <c r="D3" s="7" t="s">
        <v>15</v>
      </c>
      <c r="E3" s="7">
        <v>1101.28</v>
      </c>
      <c r="F3" s="7">
        <v>3</v>
      </c>
      <c r="G3" s="7">
        <v>0.2</v>
      </c>
      <c r="H3" s="31">
        <v>45393</v>
      </c>
      <c r="I3" s="7">
        <v>440.51</v>
      </c>
    </row>
    <row r="4" spans="1:9">
      <c r="A4" s="7" t="s">
        <v>16</v>
      </c>
      <c r="B4" s="7" t="s">
        <v>17</v>
      </c>
      <c r="C4" s="7" t="s">
        <v>18</v>
      </c>
      <c r="D4" s="7" t="s">
        <v>12</v>
      </c>
      <c r="E4" s="7">
        <v>713.34</v>
      </c>
      <c r="F4" s="7">
        <v>17</v>
      </c>
      <c r="G4" s="7">
        <v>0</v>
      </c>
      <c r="H4" s="31">
        <v>45396</v>
      </c>
      <c r="I4" s="7">
        <v>285.33999999999997</v>
      </c>
    </row>
    <row r="5" spans="1:9">
      <c r="A5" s="7" t="s">
        <v>19</v>
      </c>
      <c r="B5" s="7" t="s">
        <v>14</v>
      </c>
      <c r="C5" s="7" t="s">
        <v>20</v>
      </c>
      <c r="D5" s="7" t="s">
        <v>21</v>
      </c>
      <c r="E5" s="7">
        <v>760.93</v>
      </c>
      <c r="F5" s="7">
        <v>4</v>
      </c>
      <c r="G5" s="7">
        <v>0.15</v>
      </c>
      <c r="H5" s="31">
        <v>45396</v>
      </c>
      <c r="I5" s="7">
        <v>161.69999999999999</v>
      </c>
    </row>
    <row r="6" spans="1:9">
      <c r="A6" s="7" t="s">
        <v>22</v>
      </c>
      <c r="B6" s="7" t="s">
        <v>23</v>
      </c>
      <c r="C6" s="7" t="s">
        <v>24</v>
      </c>
      <c r="D6" s="7" t="s">
        <v>12</v>
      </c>
      <c r="E6" s="7">
        <v>847</v>
      </c>
      <c r="F6" s="7">
        <v>12</v>
      </c>
      <c r="G6" s="7">
        <v>0.2</v>
      </c>
      <c r="H6" s="31">
        <v>45397</v>
      </c>
      <c r="I6" s="7">
        <v>271.04000000000002</v>
      </c>
    </row>
    <row r="7" spans="1:9">
      <c r="A7" s="7" t="s">
        <v>25</v>
      </c>
      <c r="B7" s="7" t="s">
        <v>26</v>
      </c>
      <c r="C7" s="7" t="s">
        <v>24</v>
      </c>
      <c r="D7" s="7" t="s">
        <v>27</v>
      </c>
      <c r="E7" s="7">
        <v>965.64</v>
      </c>
      <c r="F7" s="7">
        <v>8</v>
      </c>
      <c r="G7" s="7">
        <v>0.1</v>
      </c>
      <c r="H7" s="31">
        <v>45398</v>
      </c>
      <c r="I7" s="7">
        <v>304.18</v>
      </c>
    </row>
    <row r="8" spans="1:9">
      <c r="A8" s="7" t="s">
        <v>28</v>
      </c>
      <c r="B8" s="7" t="s">
        <v>29</v>
      </c>
      <c r="C8" s="7" t="s">
        <v>11</v>
      </c>
      <c r="D8" s="7" t="s">
        <v>21</v>
      </c>
      <c r="E8" s="7">
        <v>1317.53</v>
      </c>
      <c r="F8" s="7">
        <v>12</v>
      </c>
      <c r="G8" s="7">
        <v>0.05</v>
      </c>
      <c r="H8" s="31">
        <v>45398</v>
      </c>
      <c r="I8" s="7">
        <v>312.91000000000003</v>
      </c>
    </row>
    <row r="9" spans="1:9">
      <c r="A9" s="7" t="s">
        <v>30</v>
      </c>
      <c r="B9" s="7" t="s">
        <v>31</v>
      </c>
      <c r="C9" s="7" t="s">
        <v>18</v>
      </c>
      <c r="D9" s="7" t="s">
        <v>27</v>
      </c>
      <c r="E9" s="7">
        <v>1074.47</v>
      </c>
      <c r="F9" s="7">
        <v>6</v>
      </c>
      <c r="G9" s="7">
        <v>0.2</v>
      </c>
      <c r="H9" s="31">
        <v>45401</v>
      </c>
      <c r="I9" s="7">
        <v>300.85000000000002</v>
      </c>
    </row>
    <row r="10" spans="1:9">
      <c r="A10" s="7" t="s">
        <v>32</v>
      </c>
      <c r="B10" s="7" t="s">
        <v>33</v>
      </c>
      <c r="C10" s="7" t="s">
        <v>34</v>
      </c>
      <c r="D10" s="7" t="s">
        <v>12</v>
      </c>
      <c r="E10" s="7">
        <v>501.54</v>
      </c>
      <c r="F10" s="7">
        <v>11</v>
      </c>
      <c r="G10" s="7">
        <v>0.05</v>
      </c>
      <c r="H10" s="31">
        <v>45401</v>
      </c>
      <c r="I10" s="7">
        <v>190.59</v>
      </c>
    </row>
    <row r="11" spans="1:9">
      <c r="A11" s="7" t="s">
        <v>35</v>
      </c>
      <c r="B11" s="7" t="s">
        <v>36</v>
      </c>
      <c r="C11" s="7" t="s">
        <v>34</v>
      </c>
      <c r="D11" s="7" t="s">
        <v>15</v>
      </c>
      <c r="E11" s="7">
        <v>737.31</v>
      </c>
      <c r="F11" s="7">
        <v>2</v>
      </c>
      <c r="G11" s="7">
        <v>0.05</v>
      </c>
      <c r="H11" s="31">
        <v>45401</v>
      </c>
      <c r="I11" s="7">
        <v>350.22</v>
      </c>
    </row>
    <row r="12" spans="1:9">
      <c r="A12" s="7" t="s">
        <v>37</v>
      </c>
      <c r="B12" s="7" t="s">
        <v>38</v>
      </c>
      <c r="C12" s="7" t="s">
        <v>11</v>
      </c>
      <c r="D12" s="7" t="s">
        <v>39</v>
      </c>
      <c r="E12" s="7">
        <v>1572.82</v>
      </c>
      <c r="F12" s="7">
        <v>6</v>
      </c>
      <c r="G12" s="7">
        <v>0.05</v>
      </c>
      <c r="H12" s="31">
        <v>45402</v>
      </c>
      <c r="I12" s="7">
        <v>672.38</v>
      </c>
    </row>
    <row r="13" spans="1:9">
      <c r="A13" s="7" t="s">
        <v>37</v>
      </c>
      <c r="B13" s="7" t="s">
        <v>36</v>
      </c>
      <c r="C13" s="7" t="s">
        <v>34</v>
      </c>
      <c r="D13" s="7" t="s">
        <v>12</v>
      </c>
      <c r="E13" s="7">
        <v>1343.13</v>
      </c>
      <c r="F13" s="7">
        <v>14</v>
      </c>
      <c r="G13" s="7">
        <v>0.15</v>
      </c>
      <c r="H13" s="31">
        <v>45404</v>
      </c>
      <c r="I13" s="7">
        <v>456.66</v>
      </c>
    </row>
    <row r="14" spans="1:9">
      <c r="A14" s="7" t="s">
        <v>25</v>
      </c>
      <c r="B14" s="7" t="s">
        <v>26</v>
      </c>
      <c r="C14" s="7" t="s">
        <v>34</v>
      </c>
      <c r="D14" s="7" t="s">
        <v>12</v>
      </c>
      <c r="E14" s="7">
        <v>1191.58</v>
      </c>
      <c r="F14" s="7">
        <v>14</v>
      </c>
      <c r="G14" s="7">
        <v>0.05</v>
      </c>
      <c r="H14" s="31">
        <v>45406</v>
      </c>
      <c r="I14" s="7">
        <v>452.8</v>
      </c>
    </row>
    <row r="15" spans="1:9">
      <c r="A15" s="7" t="s">
        <v>40</v>
      </c>
      <c r="B15" s="7" t="s">
        <v>14</v>
      </c>
      <c r="C15" s="7" t="s">
        <v>11</v>
      </c>
      <c r="D15" s="7" t="s">
        <v>27</v>
      </c>
      <c r="E15" s="7">
        <v>822.28</v>
      </c>
      <c r="F15" s="7">
        <v>7</v>
      </c>
      <c r="G15" s="7">
        <v>0.05</v>
      </c>
      <c r="H15" s="31">
        <v>45406</v>
      </c>
      <c r="I15" s="7">
        <v>273.41000000000003</v>
      </c>
    </row>
    <row r="16" spans="1:9">
      <c r="A16" s="7" t="s">
        <v>41</v>
      </c>
      <c r="B16" s="7" t="s">
        <v>42</v>
      </c>
      <c r="C16" s="7" t="s">
        <v>24</v>
      </c>
      <c r="D16" s="7" t="s">
        <v>27</v>
      </c>
      <c r="E16" s="7">
        <v>521.66999999999996</v>
      </c>
      <c r="F16" s="7">
        <v>15</v>
      </c>
      <c r="G16" s="7">
        <v>0.15</v>
      </c>
      <c r="H16" s="31">
        <v>45409</v>
      </c>
      <c r="I16" s="7">
        <v>155.19999999999999</v>
      </c>
    </row>
    <row r="17" spans="1:9">
      <c r="A17" s="7" t="s">
        <v>19</v>
      </c>
      <c r="B17" s="7" t="s">
        <v>43</v>
      </c>
      <c r="C17" s="7" t="s">
        <v>20</v>
      </c>
      <c r="D17" s="7" t="s">
        <v>21</v>
      </c>
      <c r="E17" s="7">
        <v>1502.93</v>
      </c>
      <c r="F17" s="7">
        <v>14</v>
      </c>
      <c r="G17" s="7">
        <v>0.2</v>
      </c>
      <c r="H17" s="31">
        <v>45410</v>
      </c>
      <c r="I17" s="7">
        <v>300.58999999999997</v>
      </c>
    </row>
    <row r="18" spans="1:9">
      <c r="A18" s="7" t="s">
        <v>44</v>
      </c>
      <c r="B18" s="7" t="s">
        <v>14</v>
      </c>
      <c r="C18" s="7" t="s">
        <v>20</v>
      </c>
      <c r="D18" s="7" t="s">
        <v>12</v>
      </c>
      <c r="E18" s="7">
        <v>877.58</v>
      </c>
      <c r="F18" s="7">
        <v>10</v>
      </c>
      <c r="G18" s="7">
        <v>0.15</v>
      </c>
      <c r="H18" s="31">
        <v>45411</v>
      </c>
      <c r="I18" s="7">
        <v>298.38</v>
      </c>
    </row>
    <row r="19" spans="1:9">
      <c r="A19" s="7" t="s">
        <v>28</v>
      </c>
      <c r="B19" s="7" t="s">
        <v>45</v>
      </c>
      <c r="C19" s="7" t="s">
        <v>11</v>
      </c>
      <c r="D19" s="7" t="s">
        <v>12</v>
      </c>
      <c r="E19" s="7">
        <v>636.70000000000005</v>
      </c>
      <c r="F19" s="7">
        <v>4</v>
      </c>
      <c r="G19" s="7">
        <v>0.2</v>
      </c>
      <c r="H19" s="31">
        <v>45411</v>
      </c>
      <c r="I19" s="7">
        <v>203.74</v>
      </c>
    </row>
    <row r="20" spans="1:9">
      <c r="A20" s="7" t="s">
        <v>46</v>
      </c>
      <c r="B20" s="7" t="s">
        <v>47</v>
      </c>
      <c r="C20" s="7" t="s">
        <v>11</v>
      </c>
      <c r="D20" s="7" t="s">
        <v>12</v>
      </c>
      <c r="E20" s="7">
        <v>1506.14</v>
      </c>
      <c r="F20" s="7">
        <v>13</v>
      </c>
      <c r="G20" s="7">
        <v>0.2</v>
      </c>
      <c r="H20" s="31">
        <v>45412</v>
      </c>
      <c r="I20" s="7">
        <v>481.96</v>
      </c>
    </row>
    <row r="21" spans="1:9">
      <c r="A21" s="7" t="s">
        <v>30</v>
      </c>
      <c r="B21" s="7" t="s">
        <v>31</v>
      </c>
      <c r="C21" s="7" t="s">
        <v>34</v>
      </c>
      <c r="D21" s="7" t="s">
        <v>21</v>
      </c>
      <c r="E21" s="7">
        <v>645.02</v>
      </c>
      <c r="F21" s="7">
        <v>4</v>
      </c>
      <c r="G21" s="7">
        <v>0</v>
      </c>
      <c r="H21" s="31">
        <v>45414</v>
      </c>
      <c r="I21" s="7">
        <v>161.26</v>
      </c>
    </row>
    <row r="22" spans="1:9">
      <c r="A22" s="7" t="s">
        <v>25</v>
      </c>
      <c r="B22" s="7" t="s">
        <v>48</v>
      </c>
      <c r="C22" s="7" t="s">
        <v>20</v>
      </c>
      <c r="D22" s="7" t="s">
        <v>15</v>
      </c>
      <c r="E22" s="7">
        <v>953.3</v>
      </c>
      <c r="F22" s="7">
        <v>11</v>
      </c>
      <c r="G22" s="7">
        <v>0</v>
      </c>
      <c r="H22" s="31">
        <v>45415</v>
      </c>
      <c r="I22" s="7">
        <v>476.65</v>
      </c>
    </row>
    <row r="23" spans="1:9">
      <c r="A23" s="7" t="s">
        <v>49</v>
      </c>
      <c r="B23" s="7" t="s">
        <v>14</v>
      </c>
      <c r="C23" s="7" t="s">
        <v>24</v>
      </c>
      <c r="D23" s="7" t="s">
        <v>21</v>
      </c>
      <c r="E23" s="7">
        <v>388.56</v>
      </c>
      <c r="F23" s="7">
        <v>14</v>
      </c>
      <c r="G23" s="7">
        <v>0.15</v>
      </c>
      <c r="H23" s="31">
        <v>45416</v>
      </c>
      <c r="I23" s="7">
        <v>82.57</v>
      </c>
    </row>
    <row r="24" spans="1:9">
      <c r="A24" s="7" t="s">
        <v>9</v>
      </c>
      <c r="B24" s="7" t="s">
        <v>31</v>
      </c>
      <c r="C24" s="7" t="s">
        <v>11</v>
      </c>
      <c r="D24" s="7" t="s">
        <v>12</v>
      </c>
      <c r="E24" s="7">
        <v>743.17</v>
      </c>
      <c r="F24" s="7">
        <v>9</v>
      </c>
      <c r="G24" s="7">
        <v>0</v>
      </c>
      <c r="H24" s="31">
        <v>45416</v>
      </c>
      <c r="I24" s="7">
        <v>297.27</v>
      </c>
    </row>
    <row r="25" spans="1:9">
      <c r="A25" s="7" t="s">
        <v>40</v>
      </c>
      <c r="B25" s="7" t="s">
        <v>31</v>
      </c>
      <c r="C25" s="7" t="s">
        <v>34</v>
      </c>
      <c r="D25" s="7" t="s">
        <v>21</v>
      </c>
      <c r="E25" s="7">
        <v>706.37</v>
      </c>
      <c r="F25" s="7">
        <v>6</v>
      </c>
      <c r="G25" s="7">
        <v>0</v>
      </c>
      <c r="H25" s="31">
        <v>45416</v>
      </c>
      <c r="I25" s="7">
        <v>176.59</v>
      </c>
    </row>
    <row r="26" spans="1:9">
      <c r="A26" s="7" t="s">
        <v>13</v>
      </c>
      <c r="B26" s="7" t="s">
        <v>31</v>
      </c>
      <c r="C26" s="7" t="s">
        <v>34</v>
      </c>
      <c r="D26" s="7" t="s">
        <v>39</v>
      </c>
      <c r="E26" s="7">
        <v>925.31</v>
      </c>
      <c r="F26" s="7">
        <v>8</v>
      </c>
      <c r="G26" s="7">
        <v>0.1</v>
      </c>
      <c r="H26" s="31">
        <v>45418</v>
      </c>
      <c r="I26" s="7">
        <v>374.75</v>
      </c>
    </row>
    <row r="27" spans="1:9">
      <c r="A27" s="7" t="s">
        <v>35</v>
      </c>
      <c r="B27" s="7" t="s">
        <v>50</v>
      </c>
      <c r="C27" s="7" t="s">
        <v>20</v>
      </c>
      <c r="D27" s="7" t="s">
        <v>21</v>
      </c>
      <c r="E27" s="7">
        <v>1173.1199999999999</v>
      </c>
      <c r="F27" s="7">
        <v>18</v>
      </c>
      <c r="G27" s="7">
        <v>0</v>
      </c>
      <c r="H27" s="31">
        <v>45418</v>
      </c>
      <c r="I27" s="7">
        <v>293.27999999999997</v>
      </c>
    </row>
    <row r="28" spans="1:9">
      <c r="A28" s="7" t="s">
        <v>22</v>
      </c>
      <c r="B28" s="7" t="s">
        <v>51</v>
      </c>
      <c r="C28" s="7" t="s">
        <v>24</v>
      </c>
      <c r="D28" s="7" t="s">
        <v>27</v>
      </c>
      <c r="E28" s="7">
        <v>675.54</v>
      </c>
      <c r="F28" s="7">
        <v>17</v>
      </c>
      <c r="G28" s="7">
        <v>0</v>
      </c>
      <c r="H28" s="31">
        <v>45420</v>
      </c>
      <c r="I28" s="7">
        <v>236.44</v>
      </c>
    </row>
    <row r="29" spans="1:9">
      <c r="A29" s="7" t="s">
        <v>25</v>
      </c>
      <c r="B29" s="7" t="s">
        <v>14</v>
      </c>
      <c r="C29" s="7" t="s">
        <v>34</v>
      </c>
      <c r="D29" s="7" t="s">
        <v>12</v>
      </c>
      <c r="E29" s="7">
        <v>939.09</v>
      </c>
      <c r="F29" s="7">
        <v>2</v>
      </c>
      <c r="G29" s="7">
        <v>0.05</v>
      </c>
      <c r="H29" s="31">
        <v>45422</v>
      </c>
      <c r="I29" s="7">
        <v>356.85</v>
      </c>
    </row>
    <row r="30" spans="1:9">
      <c r="A30" s="7" t="s">
        <v>52</v>
      </c>
      <c r="B30" s="7" t="s">
        <v>53</v>
      </c>
      <c r="C30" s="7" t="s">
        <v>18</v>
      </c>
      <c r="D30" s="7" t="s">
        <v>39</v>
      </c>
      <c r="E30" s="7">
        <v>983.34</v>
      </c>
      <c r="F30" s="7">
        <v>19</v>
      </c>
      <c r="G30" s="7">
        <v>0.1</v>
      </c>
      <c r="H30" s="31">
        <v>45426</v>
      </c>
      <c r="I30" s="7">
        <v>398.25</v>
      </c>
    </row>
    <row r="31" spans="1:9">
      <c r="A31" s="7" t="s">
        <v>52</v>
      </c>
      <c r="B31" s="7" t="s">
        <v>23</v>
      </c>
      <c r="C31" s="7" t="s">
        <v>20</v>
      </c>
      <c r="D31" s="7" t="s">
        <v>21</v>
      </c>
      <c r="E31" s="7">
        <v>801.21</v>
      </c>
      <c r="F31" s="7">
        <v>3</v>
      </c>
      <c r="G31" s="7">
        <v>0.2</v>
      </c>
      <c r="H31" s="31">
        <v>45426</v>
      </c>
      <c r="I31" s="7">
        <v>160.24</v>
      </c>
    </row>
    <row r="32" spans="1:9">
      <c r="A32" s="7" t="s">
        <v>54</v>
      </c>
      <c r="B32" s="7" t="s">
        <v>55</v>
      </c>
      <c r="C32" s="7" t="s">
        <v>24</v>
      </c>
      <c r="D32" s="7" t="s">
        <v>21</v>
      </c>
      <c r="E32" s="7">
        <v>1450.71</v>
      </c>
      <c r="F32" s="7">
        <v>5</v>
      </c>
      <c r="G32" s="7">
        <v>0.1</v>
      </c>
      <c r="H32" s="31">
        <v>45427</v>
      </c>
      <c r="I32" s="7">
        <v>326.41000000000003</v>
      </c>
    </row>
    <row r="33" spans="1:9">
      <c r="A33" s="7" t="s">
        <v>49</v>
      </c>
      <c r="B33" s="7" t="s">
        <v>56</v>
      </c>
      <c r="C33" s="7" t="s">
        <v>34</v>
      </c>
      <c r="D33" s="7" t="s">
        <v>12</v>
      </c>
      <c r="E33" s="7">
        <v>1023.21</v>
      </c>
      <c r="F33" s="7">
        <v>18</v>
      </c>
      <c r="G33" s="7">
        <v>0.05</v>
      </c>
      <c r="H33" s="31">
        <v>45428</v>
      </c>
      <c r="I33" s="7">
        <v>388.82</v>
      </c>
    </row>
    <row r="34" spans="1:9">
      <c r="A34" s="7" t="s">
        <v>28</v>
      </c>
      <c r="B34" s="7" t="s">
        <v>47</v>
      </c>
      <c r="C34" s="7" t="s">
        <v>11</v>
      </c>
      <c r="D34" s="7" t="s">
        <v>27</v>
      </c>
      <c r="E34" s="7">
        <v>853.72</v>
      </c>
      <c r="F34" s="7">
        <v>5</v>
      </c>
      <c r="G34" s="7">
        <v>0.15</v>
      </c>
      <c r="H34" s="31">
        <v>45428</v>
      </c>
      <c r="I34" s="7">
        <v>253.98</v>
      </c>
    </row>
    <row r="35" spans="1:9">
      <c r="A35" s="7" t="s">
        <v>57</v>
      </c>
      <c r="B35" s="7" t="s">
        <v>43</v>
      </c>
      <c r="C35" s="7" t="s">
        <v>20</v>
      </c>
      <c r="D35" s="7" t="s">
        <v>21</v>
      </c>
      <c r="E35" s="7">
        <v>967.89</v>
      </c>
      <c r="F35" s="7">
        <v>10</v>
      </c>
      <c r="G35" s="7">
        <v>0.1</v>
      </c>
      <c r="H35" s="31">
        <v>45429</v>
      </c>
      <c r="I35" s="7">
        <v>217.78</v>
      </c>
    </row>
    <row r="36" spans="1:9">
      <c r="A36" s="7" t="s">
        <v>58</v>
      </c>
      <c r="B36" s="7" t="s">
        <v>53</v>
      </c>
      <c r="C36" s="7" t="s">
        <v>24</v>
      </c>
      <c r="D36" s="7" t="s">
        <v>39</v>
      </c>
      <c r="E36" s="7">
        <v>1200.9000000000001</v>
      </c>
      <c r="F36" s="7">
        <v>14</v>
      </c>
      <c r="G36" s="7">
        <v>0.05</v>
      </c>
      <c r="H36" s="31">
        <v>45429</v>
      </c>
      <c r="I36" s="7">
        <v>513.38</v>
      </c>
    </row>
    <row r="37" spans="1:9">
      <c r="A37" s="7" t="s">
        <v>13</v>
      </c>
      <c r="B37" s="7" t="s">
        <v>26</v>
      </c>
      <c r="C37" s="7" t="s">
        <v>11</v>
      </c>
      <c r="D37" s="7" t="s">
        <v>12</v>
      </c>
      <c r="E37" s="7">
        <v>472.38</v>
      </c>
      <c r="F37" s="7">
        <v>12</v>
      </c>
      <c r="G37" s="7">
        <v>0.2</v>
      </c>
      <c r="H37" s="31">
        <v>45429</v>
      </c>
      <c r="I37" s="7">
        <v>151.16</v>
      </c>
    </row>
    <row r="38" spans="1:9">
      <c r="A38" s="7" t="s">
        <v>9</v>
      </c>
      <c r="B38" s="7" t="s">
        <v>55</v>
      </c>
      <c r="C38" s="7" t="s">
        <v>18</v>
      </c>
      <c r="D38" s="7" t="s">
        <v>39</v>
      </c>
      <c r="E38" s="7">
        <v>840.92</v>
      </c>
      <c r="F38" s="7">
        <v>9</v>
      </c>
      <c r="G38" s="7">
        <v>0.05</v>
      </c>
      <c r="H38" s="31">
        <v>45429</v>
      </c>
      <c r="I38" s="7">
        <v>359.49</v>
      </c>
    </row>
    <row r="39" spans="1:9">
      <c r="A39" s="7" t="s">
        <v>52</v>
      </c>
      <c r="B39" s="7" t="s">
        <v>48</v>
      </c>
      <c r="C39" s="7" t="s">
        <v>34</v>
      </c>
      <c r="D39" s="7" t="s">
        <v>27</v>
      </c>
      <c r="E39" s="7">
        <v>1410.06</v>
      </c>
      <c r="F39" s="7">
        <v>11</v>
      </c>
      <c r="G39" s="7">
        <v>0.05</v>
      </c>
      <c r="H39" s="31">
        <v>45434</v>
      </c>
      <c r="I39" s="7">
        <v>468.84</v>
      </c>
    </row>
    <row r="40" spans="1:9">
      <c r="A40" s="7" t="s">
        <v>44</v>
      </c>
      <c r="B40" s="7" t="s">
        <v>59</v>
      </c>
      <c r="C40" s="7" t="s">
        <v>34</v>
      </c>
      <c r="D40" s="7" t="s">
        <v>27</v>
      </c>
      <c r="E40" s="7">
        <v>773.09</v>
      </c>
      <c r="F40" s="7">
        <v>13</v>
      </c>
      <c r="G40" s="7">
        <v>0.15</v>
      </c>
      <c r="H40" s="31">
        <v>45434</v>
      </c>
      <c r="I40" s="7">
        <v>229.99</v>
      </c>
    </row>
    <row r="41" spans="1:9">
      <c r="A41" s="7" t="s">
        <v>60</v>
      </c>
      <c r="B41" s="7" t="s">
        <v>61</v>
      </c>
      <c r="C41" s="7" t="s">
        <v>18</v>
      </c>
      <c r="D41" s="7" t="s">
        <v>12</v>
      </c>
      <c r="E41" s="7">
        <v>580.42999999999995</v>
      </c>
      <c r="F41" s="7">
        <v>19</v>
      </c>
      <c r="G41" s="7">
        <v>0.15</v>
      </c>
      <c r="H41" s="31">
        <v>45435</v>
      </c>
      <c r="I41" s="7">
        <v>197.35</v>
      </c>
    </row>
    <row r="42" spans="1:9">
      <c r="A42" s="7" t="s">
        <v>19</v>
      </c>
      <c r="B42" s="7" t="s">
        <v>42</v>
      </c>
      <c r="C42" s="7" t="s">
        <v>20</v>
      </c>
      <c r="D42" s="7" t="s">
        <v>12</v>
      </c>
      <c r="E42" s="7">
        <v>1151.21</v>
      </c>
      <c r="F42" s="7">
        <v>15</v>
      </c>
      <c r="G42" s="7">
        <v>0.1</v>
      </c>
      <c r="H42" s="31">
        <v>45445</v>
      </c>
      <c r="I42" s="7">
        <v>414.44</v>
      </c>
    </row>
    <row r="43" spans="1:9">
      <c r="A43" s="7" t="s">
        <v>52</v>
      </c>
      <c r="B43" s="7" t="s">
        <v>23</v>
      </c>
      <c r="C43" s="7" t="s">
        <v>34</v>
      </c>
      <c r="D43" s="7" t="s">
        <v>39</v>
      </c>
      <c r="E43" s="7">
        <v>1025.98</v>
      </c>
      <c r="F43" s="7">
        <v>5</v>
      </c>
      <c r="G43" s="7">
        <v>0.2</v>
      </c>
      <c r="H43" s="31">
        <v>45447</v>
      </c>
      <c r="I43" s="7">
        <v>369.35</v>
      </c>
    </row>
    <row r="44" spans="1:9">
      <c r="A44" s="7" t="s">
        <v>40</v>
      </c>
      <c r="B44" s="7" t="s">
        <v>56</v>
      </c>
      <c r="C44" s="7" t="s">
        <v>18</v>
      </c>
      <c r="D44" s="7" t="s">
        <v>39</v>
      </c>
      <c r="E44" s="7">
        <v>556.41999999999996</v>
      </c>
      <c r="F44" s="7">
        <v>11</v>
      </c>
      <c r="G44" s="7">
        <v>0.15</v>
      </c>
      <c r="H44" s="31">
        <v>45447</v>
      </c>
      <c r="I44" s="7">
        <v>212.83</v>
      </c>
    </row>
    <row r="45" spans="1:9">
      <c r="A45" s="7" t="s">
        <v>57</v>
      </c>
      <c r="B45" s="7" t="s">
        <v>23</v>
      </c>
      <c r="C45" s="7" t="s">
        <v>34</v>
      </c>
      <c r="D45" s="7" t="s">
        <v>12</v>
      </c>
      <c r="E45" s="7">
        <v>840.85</v>
      </c>
      <c r="F45" s="7">
        <v>19</v>
      </c>
      <c r="G45" s="7">
        <v>0.1</v>
      </c>
      <c r="H45" s="31">
        <v>45448</v>
      </c>
      <c r="I45" s="7">
        <v>302.70999999999998</v>
      </c>
    </row>
    <row r="46" spans="1:9">
      <c r="A46" s="7" t="s">
        <v>30</v>
      </c>
      <c r="B46" s="7" t="s">
        <v>61</v>
      </c>
      <c r="C46" s="7" t="s">
        <v>24</v>
      </c>
      <c r="D46" s="7" t="s">
        <v>27</v>
      </c>
      <c r="E46" s="7">
        <v>1227.25</v>
      </c>
      <c r="F46" s="7">
        <v>12</v>
      </c>
      <c r="G46" s="7">
        <v>0.15</v>
      </c>
      <c r="H46" s="31">
        <v>45448</v>
      </c>
      <c r="I46" s="7">
        <v>365.11</v>
      </c>
    </row>
    <row r="47" spans="1:9">
      <c r="A47" s="7" t="s">
        <v>16</v>
      </c>
      <c r="B47" s="7" t="s">
        <v>62</v>
      </c>
      <c r="C47" s="7" t="s">
        <v>34</v>
      </c>
      <c r="D47" s="7" t="s">
        <v>21</v>
      </c>
      <c r="E47" s="7">
        <v>856.7</v>
      </c>
      <c r="F47" s="7">
        <v>2</v>
      </c>
      <c r="G47" s="7">
        <v>0</v>
      </c>
      <c r="H47" s="31">
        <v>45449</v>
      </c>
      <c r="I47" s="7">
        <v>214.18</v>
      </c>
    </row>
    <row r="48" spans="1:9">
      <c r="A48" s="7" t="s">
        <v>54</v>
      </c>
      <c r="B48" s="7" t="s">
        <v>56</v>
      </c>
      <c r="C48" s="7" t="s">
        <v>34</v>
      </c>
      <c r="D48" s="7" t="s">
        <v>39</v>
      </c>
      <c r="E48" s="7">
        <v>1225.42</v>
      </c>
      <c r="F48" s="7">
        <v>8</v>
      </c>
      <c r="G48" s="7">
        <v>0.15</v>
      </c>
      <c r="H48" s="31">
        <v>45449</v>
      </c>
      <c r="I48" s="7">
        <v>468.72</v>
      </c>
    </row>
    <row r="49" spans="1:9">
      <c r="A49" s="7" t="s">
        <v>63</v>
      </c>
      <c r="B49" s="7" t="s">
        <v>31</v>
      </c>
      <c r="C49" s="7" t="s">
        <v>24</v>
      </c>
      <c r="D49" s="7" t="s">
        <v>39</v>
      </c>
      <c r="E49" s="7">
        <v>1001.57</v>
      </c>
      <c r="F49" s="7">
        <v>12</v>
      </c>
      <c r="G49" s="7">
        <v>0</v>
      </c>
      <c r="H49" s="31">
        <v>45450</v>
      </c>
      <c r="I49" s="7">
        <v>450.71</v>
      </c>
    </row>
    <row r="50" spans="1:9">
      <c r="A50" s="7" t="s">
        <v>57</v>
      </c>
      <c r="B50" s="7" t="s">
        <v>26</v>
      </c>
      <c r="C50" s="7" t="s">
        <v>18</v>
      </c>
      <c r="D50" s="7" t="s">
        <v>27</v>
      </c>
      <c r="E50" s="7">
        <v>1186.8499999999999</v>
      </c>
      <c r="F50" s="7">
        <v>19</v>
      </c>
      <c r="G50" s="7">
        <v>0.2</v>
      </c>
      <c r="H50" s="31">
        <v>45451</v>
      </c>
      <c r="I50" s="7">
        <v>332.32</v>
      </c>
    </row>
    <row r="51" spans="1:9">
      <c r="A51" s="7" t="s">
        <v>44</v>
      </c>
      <c r="B51" s="7" t="s">
        <v>51</v>
      </c>
      <c r="C51" s="7" t="s">
        <v>20</v>
      </c>
      <c r="D51" s="7" t="s">
        <v>21</v>
      </c>
      <c r="E51" s="7">
        <v>775.45</v>
      </c>
      <c r="F51" s="7">
        <v>6</v>
      </c>
      <c r="G51" s="7">
        <v>0.1</v>
      </c>
      <c r="H51" s="31">
        <v>45457</v>
      </c>
      <c r="I51" s="7">
        <v>174.48</v>
      </c>
    </row>
    <row r="52" spans="1:9">
      <c r="A52" s="7" t="s">
        <v>25</v>
      </c>
      <c r="B52" s="7" t="s">
        <v>33</v>
      </c>
      <c r="C52" s="7" t="s">
        <v>20</v>
      </c>
      <c r="D52" s="7" t="s">
        <v>21</v>
      </c>
      <c r="E52" s="7">
        <v>1021.47</v>
      </c>
      <c r="F52" s="7">
        <v>6</v>
      </c>
      <c r="G52" s="7">
        <v>0.05</v>
      </c>
      <c r="H52" s="31">
        <v>45461</v>
      </c>
      <c r="I52" s="7">
        <v>242.6</v>
      </c>
    </row>
    <row r="53" spans="1:9">
      <c r="A53" s="7" t="s">
        <v>58</v>
      </c>
      <c r="B53" s="7" t="s">
        <v>23</v>
      </c>
      <c r="C53" s="7" t="s">
        <v>20</v>
      </c>
      <c r="D53" s="7" t="s">
        <v>15</v>
      </c>
      <c r="E53" s="7">
        <v>1226.6199999999999</v>
      </c>
      <c r="F53" s="7">
        <v>7</v>
      </c>
      <c r="G53" s="7">
        <v>0.1</v>
      </c>
      <c r="H53" s="31">
        <v>45463</v>
      </c>
      <c r="I53" s="7">
        <v>551.98</v>
      </c>
    </row>
    <row r="54" spans="1:9">
      <c r="A54" s="7" t="s">
        <v>22</v>
      </c>
      <c r="B54" s="7" t="s">
        <v>64</v>
      </c>
      <c r="C54" s="7" t="s">
        <v>20</v>
      </c>
      <c r="D54" s="7" t="s">
        <v>27</v>
      </c>
      <c r="E54" s="7">
        <v>1086.93</v>
      </c>
      <c r="F54" s="7">
        <v>2</v>
      </c>
      <c r="G54" s="7">
        <v>0</v>
      </c>
      <c r="H54" s="31">
        <v>45464</v>
      </c>
      <c r="I54" s="7">
        <v>380.43</v>
      </c>
    </row>
    <row r="55" spans="1:9">
      <c r="A55" s="7" t="s">
        <v>65</v>
      </c>
      <c r="B55" s="7" t="s">
        <v>48</v>
      </c>
      <c r="C55" s="7" t="s">
        <v>11</v>
      </c>
      <c r="D55" s="7" t="s">
        <v>12</v>
      </c>
      <c r="E55" s="7">
        <v>942.9</v>
      </c>
      <c r="F55" s="7">
        <v>18</v>
      </c>
      <c r="G55" s="7">
        <v>0.1</v>
      </c>
      <c r="H55" s="31">
        <v>45466</v>
      </c>
      <c r="I55" s="7">
        <v>339.44</v>
      </c>
    </row>
    <row r="56" spans="1:9">
      <c r="A56" s="7" t="s">
        <v>32</v>
      </c>
      <c r="B56" s="7" t="s">
        <v>38</v>
      </c>
      <c r="C56" s="7" t="s">
        <v>24</v>
      </c>
      <c r="D56" s="7" t="s">
        <v>21</v>
      </c>
      <c r="E56" s="7">
        <v>818.8</v>
      </c>
      <c r="F56" s="7">
        <v>15</v>
      </c>
      <c r="G56" s="7">
        <v>0.15</v>
      </c>
      <c r="H56" s="31">
        <v>45468</v>
      </c>
      <c r="I56" s="7">
        <v>173.99</v>
      </c>
    </row>
    <row r="57" spans="1:9">
      <c r="A57" s="7" t="s">
        <v>19</v>
      </c>
      <c r="B57" s="7" t="s">
        <v>14</v>
      </c>
      <c r="C57" s="7" t="s">
        <v>20</v>
      </c>
      <c r="D57" s="7" t="s">
        <v>27</v>
      </c>
      <c r="E57" s="7">
        <v>919.04</v>
      </c>
      <c r="F57" s="7">
        <v>10</v>
      </c>
      <c r="G57" s="7">
        <v>0.2</v>
      </c>
      <c r="H57" s="31">
        <v>45468</v>
      </c>
      <c r="I57" s="7">
        <v>257.33</v>
      </c>
    </row>
    <row r="58" spans="1:9">
      <c r="A58" s="7" t="s">
        <v>22</v>
      </c>
      <c r="B58" s="7" t="s">
        <v>66</v>
      </c>
      <c r="C58" s="7" t="s">
        <v>34</v>
      </c>
      <c r="D58" s="7" t="s">
        <v>12</v>
      </c>
      <c r="E58" s="7">
        <v>973.26</v>
      </c>
      <c r="F58" s="7">
        <v>11</v>
      </c>
      <c r="G58" s="7">
        <v>0</v>
      </c>
      <c r="H58" s="31">
        <v>45470</v>
      </c>
      <c r="I58" s="7">
        <v>389.3</v>
      </c>
    </row>
    <row r="59" spans="1:9">
      <c r="A59" s="7" t="s">
        <v>41</v>
      </c>
      <c r="B59" s="7" t="s">
        <v>64</v>
      </c>
      <c r="C59" s="7" t="s">
        <v>24</v>
      </c>
      <c r="D59" s="7" t="s">
        <v>21</v>
      </c>
      <c r="E59" s="7">
        <v>741.61</v>
      </c>
      <c r="F59" s="7">
        <v>1</v>
      </c>
      <c r="G59" s="7">
        <v>0.2</v>
      </c>
      <c r="H59" s="31">
        <v>45471</v>
      </c>
      <c r="I59" s="7">
        <v>148.32</v>
      </c>
    </row>
    <row r="60" spans="1:9">
      <c r="A60" s="7" t="s">
        <v>67</v>
      </c>
      <c r="B60" s="7" t="s">
        <v>38</v>
      </c>
      <c r="C60" s="7" t="s">
        <v>24</v>
      </c>
      <c r="D60" s="7" t="s">
        <v>12</v>
      </c>
      <c r="E60" s="7">
        <v>1248.82</v>
      </c>
      <c r="F60" s="7">
        <v>2</v>
      </c>
      <c r="G60" s="7">
        <v>0.1</v>
      </c>
      <c r="H60" s="31">
        <v>45473</v>
      </c>
      <c r="I60" s="7">
        <v>449.58</v>
      </c>
    </row>
    <row r="61" spans="1:9">
      <c r="A61" s="7" t="s">
        <v>13</v>
      </c>
      <c r="B61" s="7" t="s">
        <v>59</v>
      </c>
      <c r="C61" s="7" t="s">
        <v>11</v>
      </c>
      <c r="D61" s="7" t="s">
        <v>15</v>
      </c>
      <c r="E61" s="7">
        <v>1360.36</v>
      </c>
      <c r="F61" s="7">
        <v>17</v>
      </c>
      <c r="G61" s="7">
        <v>0</v>
      </c>
      <c r="H61" s="31">
        <v>45473</v>
      </c>
      <c r="I61" s="7">
        <v>680.18</v>
      </c>
    </row>
    <row r="62" spans="1:9">
      <c r="A62" s="7" t="s">
        <v>57</v>
      </c>
      <c r="B62" s="7" t="s">
        <v>31</v>
      </c>
      <c r="C62" s="7" t="s">
        <v>18</v>
      </c>
      <c r="D62" s="7" t="s">
        <v>12</v>
      </c>
      <c r="E62" s="7">
        <v>1383.3</v>
      </c>
      <c r="F62" s="7">
        <v>8</v>
      </c>
      <c r="G62" s="7">
        <v>0.1</v>
      </c>
      <c r="H62" s="31">
        <v>45478</v>
      </c>
      <c r="I62" s="7">
        <v>497.99</v>
      </c>
    </row>
    <row r="63" spans="1:9">
      <c r="A63" s="7" t="s">
        <v>35</v>
      </c>
      <c r="B63" s="7" t="s">
        <v>55</v>
      </c>
      <c r="C63" s="7" t="s">
        <v>34</v>
      </c>
      <c r="D63" s="7" t="s">
        <v>39</v>
      </c>
      <c r="E63" s="7">
        <v>488.99</v>
      </c>
      <c r="F63" s="7">
        <v>9</v>
      </c>
      <c r="G63" s="7">
        <v>0</v>
      </c>
      <c r="H63" s="31">
        <v>45479</v>
      </c>
      <c r="I63" s="7">
        <v>220.05</v>
      </c>
    </row>
    <row r="64" spans="1:9">
      <c r="A64" s="7" t="s">
        <v>30</v>
      </c>
      <c r="B64" s="7" t="s">
        <v>31</v>
      </c>
      <c r="C64" s="7" t="s">
        <v>18</v>
      </c>
      <c r="D64" s="7" t="s">
        <v>27</v>
      </c>
      <c r="E64" s="7">
        <v>933.71</v>
      </c>
      <c r="F64" s="7">
        <v>17</v>
      </c>
      <c r="G64" s="7">
        <v>0.1</v>
      </c>
      <c r="H64" s="31">
        <v>45481</v>
      </c>
      <c r="I64" s="7">
        <v>294.12</v>
      </c>
    </row>
    <row r="65" spans="1:9">
      <c r="A65" s="7" t="s">
        <v>67</v>
      </c>
      <c r="B65" s="7" t="s">
        <v>10</v>
      </c>
      <c r="C65" s="7" t="s">
        <v>11</v>
      </c>
      <c r="D65" s="7" t="s">
        <v>21</v>
      </c>
      <c r="E65" s="7">
        <v>1005.53</v>
      </c>
      <c r="F65" s="7">
        <v>17</v>
      </c>
      <c r="G65" s="7">
        <v>0.2</v>
      </c>
      <c r="H65" s="31">
        <v>45481</v>
      </c>
      <c r="I65" s="7">
        <v>201.11</v>
      </c>
    </row>
    <row r="66" spans="1:9">
      <c r="A66" s="7" t="s">
        <v>41</v>
      </c>
      <c r="B66" s="7" t="s">
        <v>61</v>
      </c>
      <c r="C66" s="7" t="s">
        <v>20</v>
      </c>
      <c r="D66" s="7" t="s">
        <v>21</v>
      </c>
      <c r="E66" s="7">
        <v>1100.0999999999999</v>
      </c>
      <c r="F66" s="7">
        <v>5</v>
      </c>
      <c r="G66" s="7">
        <v>0.05</v>
      </c>
      <c r="H66" s="31">
        <v>45482</v>
      </c>
      <c r="I66" s="7">
        <v>261.27</v>
      </c>
    </row>
    <row r="67" spans="1:9">
      <c r="A67" s="7" t="s">
        <v>67</v>
      </c>
      <c r="B67" s="7" t="s">
        <v>23</v>
      </c>
      <c r="C67" s="7" t="s">
        <v>24</v>
      </c>
      <c r="D67" s="7" t="s">
        <v>27</v>
      </c>
      <c r="E67" s="7">
        <v>1034.7</v>
      </c>
      <c r="F67" s="7">
        <v>15</v>
      </c>
      <c r="G67" s="7">
        <v>0.15</v>
      </c>
      <c r="H67" s="31">
        <v>45487</v>
      </c>
      <c r="I67" s="7">
        <v>307.82</v>
      </c>
    </row>
    <row r="68" spans="1:9">
      <c r="A68" s="7" t="s">
        <v>65</v>
      </c>
      <c r="B68" s="7" t="s">
        <v>31</v>
      </c>
      <c r="C68" s="7" t="s">
        <v>20</v>
      </c>
      <c r="D68" s="7" t="s">
        <v>12</v>
      </c>
      <c r="E68" s="7">
        <v>876.44</v>
      </c>
      <c r="F68" s="7">
        <v>12</v>
      </c>
      <c r="G68" s="7">
        <v>0.05</v>
      </c>
      <c r="H68" s="31">
        <v>45488</v>
      </c>
      <c r="I68" s="7">
        <v>333.05</v>
      </c>
    </row>
    <row r="69" spans="1:9">
      <c r="A69" s="7" t="s">
        <v>68</v>
      </c>
      <c r="B69" s="7" t="s">
        <v>55</v>
      </c>
      <c r="C69" s="7" t="s">
        <v>11</v>
      </c>
      <c r="D69" s="7" t="s">
        <v>27</v>
      </c>
      <c r="E69" s="7">
        <v>1371.34</v>
      </c>
      <c r="F69" s="7">
        <v>5</v>
      </c>
      <c r="G69" s="7">
        <v>0.05</v>
      </c>
      <c r="H69" s="31">
        <v>45488</v>
      </c>
      <c r="I69" s="7">
        <v>455.97</v>
      </c>
    </row>
    <row r="70" spans="1:9">
      <c r="A70" s="7" t="s">
        <v>57</v>
      </c>
      <c r="B70" s="7" t="s">
        <v>47</v>
      </c>
      <c r="C70" s="7" t="s">
        <v>24</v>
      </c>
      <c r="D70" s="7" t="s">
        <v>21</v>
      </c>
      <c r="E70" s="7">
        <v>1020.26</v>
      </c>
      <c r="F70" s="7">
        <v>11</v>
      </c>
      <c r="G70" s="7">
        <v>0.05</v>
      </c>
      <c r="H70" s="31">
        <v>45494</v>
      </c>
      <c r="I70" s="7">
        <v>242.31</v>
      </c>
    </row>
    <row r="71" spans="1:9">
      <c r="A71" s="7" t="s">
        <v>44</v>
      </c>
      <c r="B71" s="7" t="s">
        <v>10</v>
      </c>
      <c r="C71" s="7" t="s">
        <v>34</v>
      </c>
      <c r="D71" s="7" t="s">
        <v>39</v>
      </c>
      <c r="E71" s="7">
        <v>804.81</v>
      </c>
      <c r="F71" s="7">
        <v>1</v>
      </c>
      <c r="G71" s="7">
        <v>0.05</v>
      </c>
      <c r="H71" s="31">
        <v>45502</v>
      </c>
      <c r="I71" s="7">
        <v>344.06</v>
      </c>
    </row>
    <row r="72" spans="1:9">
      <c r="A72" s="7" t="s">
        <v>22</v>
      </c>
      <c r="B72" s="7" t="s">
        <v>55</v>
      </c>
      <c r="C72" s="7" t="s">
        <v>34</v>
      </c>
      <c r="D72" s="7" t="s">
        <v>21</v>
      </c>
      <c r="E72" s="7">
        <v>608.66</v>
      </c>
      <c r="F72" s="7">
        <v>1</v>
      </c>
      <c r="G72" s="7">
        <v>0.05</v>
      </c>
      <c r="H72" s="31">
        <v>45503</v>
      </c>
      <c r="I72" s="7">
        <v>144.56</v>
      </c>
    </row>
    <row r="73" spans="1:9">
      <c r="A73" s="7" t="s">
        <v>68</v>
      </c>
      <c r="B73" s="7" t="s">
        <v>69</v>
      </c>
      <c r="C73" s="7" t="s">
        <v>20</v>
      </c>
      <c r="D73" s="7" t="s">
        <v>39</v>
      </c>
      <c r="E73" s="7">
        <v>981.2</v>
      </c>
      <c r="F73" s="7">
        <v>19</v>
      </c>
      <c r="G73" s="7">
        <v>0</v>
      </c>
      <c r="H73" s="31">
        <v>45504</v>
      </c>
      <c r="I73" s="7">
        <v>441.54</v>
      </c>
    </row>
    <row r="74" spans="1:9">
      <c r="A74" s="7" t="s">
        <v>70</v>
      </c>
      <c r="B74" s="7" t="s">
        <v>55</v>
      </c>
      <c r="C74" s="7" t="s">
        <v>18</v>
      </c>
      <c r="D74" s="7" t="s">
        <v>21</v>
      </c>
      <c r="E74" s="7">
        <v>539.77</v>
      </c>
      <c r="F74" s="7">
        <v>10</v>
      </c>
      <c r="G74" s="7">
        <v>0.15</v>
      </c>
      <c r="H74" s="31">
        <v>45509</v>
      </c>
      <c r="I74" s="7">
        <v>114.7</v>
      </c>
    </row>
    <row r="75" spans="1:9">
      <c r="A75" s="7" t="s">
        <v>13</v>
      </c>
      <c r="B75" s="7" t="s">
        <v>71</v>
      </c>
      <c r="C75" s="7" t="s">
        <v>20</v>
      </c>
      <c r="D75" s="7" t="s">
        <v>12</v>
      </c>
      <c r="E75" s="7">
        <v>804.45</v>
      </c>
      <c r="F75" s="7">
        <v>5</v>
      </c>
      <c r="G75" s="7">
        <v>0.2</v>
      </c>
      <c r="H75" s="31">
        <v>45509</v>
      </c>
      <c r="I75" s="7">
        <v>257.42</v>
      </c>
    </row>
    <row r="76" spans="1:9">
      <c r="A76" s="7" t="s">
        <v>70</v>
      </c>
      <c r="B76" s="7" t="s">
        <v>38</v>
      </c>
      <c r="C76" s="7" t="s">
        <v>11</v>
      </c>
      <c r="D76" s="7" t="s">
        <v>21</v>
      </c>
      <c r="E76" s="7">
        <v>1526.6</v>
      </c>
      <c r="F76" s="7">
        <v>13</v>
      </c>
      <c r="G76" s="7">
        <v>0.2</v>
      </c>
      <c r="H76" s="31">
        <v>45512</v>
      </c>
      <c r="I76" s="7">
        <v>305.32</v>
      </c>
    </row>
    <row r="77" spans="1:9">
      <c r="A77" s="7" t="s">
        <v>13</v>
      </c>
      <c r="B77" s="7" t="s">
        <v>29</v>
      </c>
      <c r="C77" s="7" t="s">
        <v>11</v>
      </c>
      <c r="D77" s="7" t="s">
        <v>21</v>
      </c>
      <c r="E77" s="7">
        <v>1215.26</v>
      </c>
      <c r="F77" s="7">
        <v>5</v>
      </c>
      <c r="G77" s="7">
        <v>0.15</v>
      </c>
      <c r="H77" s="31">
        <v>45513</v>
      </c>
      <c r="I77" s="7">
        <v>258.24</v>
      </c>
    </row>
    <row r="78" spans="1:9">
      <c r="A78" s="7" t="s">
        <v>19</v>
      </c>
      <c r="B78" s="7" t="s">
        <v>53</v>
      </c>
      <c r="C78" s="7" t="s">
        <v>34</v>
      </c>
      <c r="D78" s="7" t="s">
        <v>27</v>
      </c>
      <c r="E78" s="7">
        <v>1261.3399999999999</v>
      </c>
      <c r="F78" s="7">
        <v>3</v>
      </c>
      <c r="G78" s="7">
        <v>0</v>
      </c>
      <c r="H78" s="31">
        <v>45519</v>
      </c>
      <c r="I78" s="7">
        <v>441.47</v>
      </c>
    </row>
    <row r="79" spans="1:9">
      <c r="A79" s="7" t="s">
        <v>72</v>
      </c>
      <c r="B79" s="7" t="s">
        <v>45</v>
      </c>
      <c r="C79" s="7" t="s">
        <v>24</v>
      </c>
      <c r="D79" s="7" t="s">
        <v>27</v>
      </c>
      <c r="E79" s="7">
        <v>518.07000000000005</v>
      </c>
      <c r="F79" s="7">
        <v>7</v>
      </c>
      <c r="G79" s="7">
        <v>0.05</v>
      </c>
      <c r="H79" s="31">
        <v>45522</v>
      </c>
      <c r="I79" s="7">
        <v>172.26</v>
      </c>
    </row>
    <row r="80" spans="1:9">
      <c r="A80" s="7" t="s">
        <v>30</v>
      </c>
      <c r="B80" s="7" t="s">
        <v>29</v>
      </c>
      <c r="C80" s="7" t="s">
        <v>11</v>
      </c>
      <c r="D80" s="7" t="s">
        <v>39</v>
      </c>
      <c r="E80" s="7">
        <v>1111.3399999999999</v>
      </c>
      <c r="F80" s="7">
        <v>1</v>
      </c>
      <c r="G80" s="7">
        <v>0</v>
      </c>
      <c r="H80" s="31">
        <v>45523</v>
      </c>
      <c r="I80" s="7">
        <v>500.1</v>
      </c>
    </row>
    <row r="81" spans="1:9">
      <c r="A81" s="7" t="s">
        <v>22</v>
      </c>
      <c r="B81" s="7" t="s">
        <v>31</v>
      </c>
      <c r="C81" s="7" t="s">
        <v>18</v>
      </c>
      <c r="D81" s="7" t="s">
        <v>15</v>
      </c>
      <c r="E81" s="7">
        <v>1291.47</v>
      </c>
      <c r="F81" s="7">
        <v>18</v>
      </c>
      <c r="G81" s="7">
        <v>0.1</v>
      </c>
      <c r="H81" s="31">
        <v>45526</v>
      </c>
      <c r="I81" s="7">
        <v>581.16</v>
      </c>
    </row>
    <row r="82" spans="1:9">
      <c r="A82" s="7" t="s">
        <v>25</v>
      </c>
      <c r="B82" s="7" t="s">
        <v>55</v>
      </c>
      <c r="C82" s="7" t="s">
        <v>24</v>
      </c>
      <c r="D82" s="7" t="s">
        <v>12</v>
      </c>
      <c r="E82" s="7">
        <v>679.71</v>
      </c>
      <c r="F82" s="7">
        <v>19</v>
      </c>
      <c r="G82" s="7">
        <v>0</v>
      </c>
      <c r="H82" s="31">
        <v>45534</v>
      </c>
      <c r="I82" s="7">
        <v>271.88</v>
      </c>
    </row>
    <row r="83" spans="1:9">
      <c r="A83" s="7" t="s">
        <v>68</v>
      </c>
      <c r="B83" s="7" t="s">
        <v>33</v>
      </c>
      <c r="C83" s="7" t="s">
        <v>18</v>
      </c>
      <c r="D83" s="7" t="s">
        <v>27</v>
      </c>
      <c r="E83" s="7">
        <v>1143.69</v>
      </c>
      <c r="F83" s="7">
        <v>17</v>
      </c>
      <c r="G83" s="7">
        <v>0</v>
      </c>
      <c r="H83" s="31">
        <v>45534</v>
      </c>
      <c r="I83" s="7">
        <v>400.29</v>
      </c>
    </row>
    <row r="84" spans="1:9">
      <c r="A84" s="7" t="s">
        <v>52</v>
      </c>
      <c r="B84" s="7" t="s">
        <v>50</v>
      </c>
      <c r="C84" s="7" t="s">
        <v>34</v>
      </c>
      <c r="D84" s="7" t="s">
        <v>21</v>
      </c>
      <c r="E84" s="7">
        <v>790.08</v>
      </c>
      <c r="F84" s="7">
        <v>7</v>
      </c>
      <c r="G84" s="7">
        <v>0.1</v>
      </c>
      <c r="H84" s="31">
        <v>45536</v>
      </c>
      <c r="I84" s="7">
        <v>177.77</v>
      </c>
    </row>
    <row r="85" spans="1:9">
      <c r="A85" s="7" t="s">
        <v>19</v>
      </c>
      <c r="B85" s="7" t="s">
        <v>48</v>
      </c>
      <c r="C85" s="7" t="s">
        <v>34</v>
      </c>
      <c r="D85" s="7" t="s">
        <v>12</v>
      </c>
      <c r="E85" s="7">
        <v>1070.68</v>
      </c>
      <c r="F85" s="7">
        <v>7</v>
      </c>
      <c r="G85" s="7">
        <v>0.05</v>
      </c>
      <c r="H85" s="31">
        <v>45536</v>
      </c>
      <c r="I85" s="7">
        <v>406.86</v>
      </c>
    </row>
    <row r="86" spans="1:9">
      <c r="A86" s="7" t="s">
        <v>58</v>
      </c>
      <c r="B86" s="7" t="s">
        <v>36</v>
      </c>
      <c r="C86" s="7" t="s">
        <v>11</v>
      </c>
      <c r="D86" s="7" t="s">
        <v>15</v>
      </c>
      <c r="E86" s="7">
        <v>1168.8900000000001</v>
      </c>
      <c r="F86" s="7">
        <v>4</v>
      </c>
      <c r="G86" s="7">
        <v>0.1</v>
      </c>
      <c r="H86" s="31">
        <v>45544</v>
      </c>
      <c r="I86" s="7">
        <v>526</v>
      </c>
    </row>
    <row r="87" spans="1:9">
      <c r="A87" s="7" t="s">
        <v>67</v>
      </c>
      <c r="B87" s="7" t="s">
        <v>10</v>
      </c>
      <c r="C87" s="7" t="s">
        <v>20</v>
      </c>
      <c r="D87" s="7" t="s">
        <v>21</v>
      </c>
      <c r="E87" s="7">
        <v>1335.87</v>
      </c>
      <c r="F87" s="7">
        <v>17</v>
      </c>
      <c r="G87" s="7">
        <v>0</v>
      </c>
      <c r="H87" s="31">
        <v>45544</v>
      </c>
      <c r="I87" s="7">
        <v>333.97</v>
      </c>
    </row>
    <row r="88" spans="1:9">
      <c r="A88" s="7" t="s">
        <v>40</v>
      </c>
      <c r="B88" s="7" t="s">
        <v>55</v>
      </c>
      <c r="C88" s="7" t="s">
        <v>18</v>
      </c>
      <c r="D88" s="7" t="s">
        <v>27</v>
      </c>
      <c r="E88" s="7">
        <v>873.7</v>
      </c>
      <c r="F88" s="7">
        <v>9</v>
      </c>
      <c r="G88" s="7">
        <v>0</v>
      </c>
      <c r="H88" s="31">
        <v>45546</v>
      </c>
      <c r="I88" s="7">
        <v>305.8</v>
      </c>
    </row>
    <row r="89" spans="1:9">
      <c r="A89" s="7" t="s">
        <v>72</v>
      </c>
      <c r="B89" s="7" t="s">
        <v>64</v>
      </c>
      <c r="C89" s="7" t="s">
        <v>11</v>
      </c>
      <c r="D89" s="7" t="s">
        <v>39</v>
      </c>
      <c r="E89" s="7">
        <v>1443.98</v>
      </c>
      <c r="F89" s="7">
        <v>19</v>
      </c>
      <c r="G89" s="7">
        <v>0</v>
      </c>
      <c r="H89" s="31">
        <v>45547</v>
      </c>
      <c r="I89" s="7">
        <v>649.79</v>
      </c>
    </row>
    <row r="90" spans="1:9">
      <c r="A90" s="7" t="s">
        <v>40</v>
      </c>
      <c r="B90" s="7" t="s">
        <v>23</v>
      </c>
      <c r="C90" s="7" t="s">
        <v>18</v>
      </c>
      <c r="D90" s="7" t="s">
        <v>39</v>
      </c>
      <c r="E90" s="7">
        <v>1154.33</v>
      </c>
      <c r="F90" s="7">
        <v>11</v>
      </c>
      <c r="G90" s="7">
        <v>0.15</v>
      </c>
      <c r="H90" s="31">
        <v>45549</v>
      </c>
      <c r="I90" s="7">
        <v>441.53</v>
      </c>
    </row>
    <row r="91" spans="1:9">
      <c r="A91" s="7" t="s">
        <v>49</v>
      </c>
      <c r="B91" s="7" t="s">
        <v>50</v>
      </c>
      <c r="C91" s="7" t="s">
        <v>20</v>
      </c>
      <c r="D91" s="7" t="s">
        <v>12</v>
      </c>
      <c r="E91" s="7">
        <v>1264.49</v>
      </c>
      <c r="F91" s="7">
        <v>16</v>
      </c>
      <c r="G91" s="7">
        <v>0.05</v>
      </c>
      <c r="H91" s="31">
        <v>45549</v>
      </c>
      <c r="I91" s="7">
        <v>480.51</v>
      </c>
    </row>
    <row r="92" spans="1:9">
      <c r="A92" s="7" t="s">
        <v>25</v>
      </c>
      <c r="B92" s="7" t="s">
        <v>66</v>
      </c>
      <c r="C92" s="7" t="s">
        <v>11</v>
      </c>
      <c r="D92" s="7" t="s">
        <v>27</v>
      </c>
      <c r="E92" s="7">
        <v>1101.55</v>
      </c>
      <c r="F92" s="7">
        <v>4</v>
      </c>
      <c r="G92" s="7">
        <v>0.1</v>
      </c>
      <c r="H92" s="31">
        <v>45551</v>
      </c>
      <c r="I92" s="7">
        <v>346.99</v>
      </c>
    </row>
    <row r="93" spans="1:9">
      <c r="A93" s="7" t="s">
        <v>73</v>
      </c>
      <c r="B93" s="7" t="s">
        <v>14</v>
      </c>
      <c r="C93" s="7" t="s">
        <v>20</v>
      </c>
      <c r="D93" s="7" t="s">
        <v>27</v>
      </c>
      <c r="E93" s="7">
        <v>727.73</v>
      </c>
      <c r="F93" s="7">
        <v>1</v>
      </c>
      <c r="G93" s="7">
        <v>0.1</v>
      </c>
      <c r="H93" s="31">
        <v>45552</v>
      </c>
      <c r="I93" s="7">
        <v>229.23</v>
      </c>
    </row>
    <row r="94" spans="1:9">
      <c r="A94" s="7" t="s">
        <v>74</v>
      </c>
      <c r="B94" s="7" t="s">
        <v>38</v>
      </c>
      <c r="C94" s="7" t="s">
        <v>18</v>
      </c>
      <c r="D94" s="7" t="s">
        <v>39</v>
      </c>
      <c r="E94" s="7">
        <v>875.41</v>
      </c>
      <c r="F94" s="7">
        <v>13</v>
      </c>
      <c r="G94" s="7">
        <v>0.15</v>
      </c>
      <c r="H94" s="31">
        <v>45552</v>
      </c>
      <c r="I94" s="7">
        <v>334.84</v>
      </c>
    </row>
    <row r="95" spans="1:9">
      <c r="A95" s="7" t="s">
        <v>67</v>
      </c>
      <c r="B95" s="7" t="s">
        <v>23</v>
      </c>
      <c r="C95" s="7" t="s">
        <v>11</v>
      </c>
      <c r="D95" s="7" t="s">
        <v>21</v>
      </c>
      <c r="E95" s="7">
        <v>1158.94</v>
      </c>
      <c r="F95" s="7">
        <v>19</v>
      </c>
      <c r="G95" s="7">
        <v>0.2</v>
      </c>
      <c r="H95" s="31">
        <v>45553</v>
      </c>
      <c r="I95" s="7">
        <v>231.79</v>
      </c>
    </row>
    <row r="96" spans="1:9">
      <c r="A96" s="7" t="s">
        <v>75</v>
      </c>
      <c r="B96" s="7" t="s">
        <v>47</v>
      </c>
      <c r="C96" s="7" t="s">
        <v>20</v>
      </c>
      <c r="D96" s="7" t="s">
        <v>12</v>
      </c>
      <c r="E96" s="7">
        <v>966.3</v>
      </c>
      <c r="F96" s="7">
        <v>2</v>
      </c>
      <c r="G96" s="7">
        <v>0.15</v>
      </c>
      <c r="H96" s="31">
        <v>45557</v>
      </c>
      <c r="I96" s="7">
        <v>328.54</v>
      </c>
    </row>
    <row r="97" spans="1:9">
      <c r="A97" s="7" t="s">
        <v>68</v>
      </c>
      <c r="B97" s="7" t="s">
        <v>17</v>
      </c>
      <c r="C97" s="7" t="s">
        <v>20</v>
      </c>
      <c r="D97" s="7" t="s">
        <v>12</v>
      </c>
      <c r="E97" s="7">
        <v>917.48</v>
      </c>
      <c r="F97" s="7">
        <v>6</v>
      </c>
      <c r="G97" s="7">
        <v>0</v>
      </c>
      <c r="H97" s="31">
        <v>45558</v>
      </c>
      <c r="I97" s="7">
        <v>366.99</v>
      </c>
    </row>
    <row r="98" spans="1:9">
      <c r="A98" s="7" t="s">
        <v>41</v>
      </c>
      <c r="B98" s="7" t="s">
        <v>61</v>
      </c>
      <c r="C98" s="7" t="s">
        <v>11</v>
      </c>
      <c r="D98" s="7" t="s">
        <v>27</v>
      </c>
      <c r="E98" s="7">
        <v>1172.97</v>
      </c>
      <c r="F98" s="7">
        <v>7</v>
      </c>
      <c r="G98" s="7">
        <v>0.15</v>
      </c>
      <c r="H98" s="31">
        <v>45559</v>
      </c>
      <c r="I98" s="7">
        <v>348.96</v>
      </c>
    </row>
    <row r="99" spans="1:9">
      <c r="A99" s="7" t="s">
        <v>57</v>
      </c>
      <c r="B99" s="7" t="s">
        <v>23</v>
      </c>
      <c r="C99" s="7" t="s">
        <v>24</v>
      </c>
      <c r="D99" s="7" t="s">
        <v>15</v>
      </c>
      <c r="E99" s="7">
        <v>1205.82</v>
      </c>
      <c r="F99" s="7">
        <v>11</v>
      </c>
      <c r="G99" s="7">
        <v>0.1</v>
      </c>
      <c r="H99" s="31">
        <v>45559</v>
      </c>
      <c r="I99" s="7">
        <v>542.62</v>
      </c>
    </row>
    <row r="100" spans="1:9">
      <c r="A100" s="7" t="s">
        <v>16</v>
      </c>
      <c r="B100" s="7" t="s">
        <v>64</v>
      </c>
      <c r="C100" s="7" t="s">
        <v>11</v>
      </c>
      <c r="D100" s="7" t="s">
        <v>39</v>
      </c>
      <c r="E100" s="7">
        <v>826.93</v>
      </c>
      <c r="F100" s="7">
        <v>10</v>
      </c>
      <c r="G100" s="7">
        <v>0.2</v>
      </c>
      <c r="H100" s="31">
        <v>45564</v>
      </c>
      <c r="I100" s="7">
        <v>297.69</v>
      </c>
    </row>
    <row r="101" spans="1:9">
      <c r="A101" s="7" t="s">
        <v>67</v>
      </c>
      <c r="B101" s="7" t="s">
        <v>23</v>
      </c>
      <c r="C101" s="7" t="s">
        <v>34</v>
      </c>
      <c r="D101" s="7" t="s">
        <v>15</v>
      </c>
      <c r="E101" s="7">
        <v>902.19</v>
      </c>
      <c r="F101" s="7">
        <v>12</v>
      </c>
      <c r="G101" s="7">
        <v>0</v>
      </c>
      <c r="H101" s="31">
        <v>45564</v>
      </c>
      <c r="I101" s="7">
        <v>451.1</v>
      </c>
    </row>
    <row r="102" spans="1:9">
      <c r="A102" s="7" t="s">
        <v>74</v>
      </c>
      <c r="B102" s="7" t="s">
        <v>38</v>
      </c>
      <c r="C102" s="7" t="s">
        <v>24</v>
      </c>
      <c r="D102" s="7" t="s">
        <v>12</v>
      </c>
      <c r="E102" s="7">
        <v>585.97</v>
      </c>
      <c r="F102" s="7">
        <v>17</v>
      </c>
      <c r="G102" s="7">
        <v>0.1</v>
      </c>
      <c r="H102" s="31">
        <v>45565</v>
      </c>
      <c r="I102" s="7">
        <v>210.95</v>
      </c>
    </row>
    <row r="103" spans="1:9">
      <c r="A103" s="7" t="s">
        <v>60</v>
      </c>
      <c r="B103" s="7" t="s">
        <v>26</v>
      </c>
      <c r="C103" s="7" t="s">
        <v>24</v>
      </c>
      <c r="D103" s="7" t="s">
        <v>15</v>
      </c>
      <c r="E103" s="7">
        <v>990.19</v>
      </c>
      <c r="F103" s="7">
        <v>8</v>
      </c>
      <c r="G103" s="7">
        <v>0.1</v>
      </c>
      <c r="H103" s="31">
        <v>45565</v>
      </c>
      <c r="I103" s="7">
        <v>445.59</v>
      </c>
    </row>
    <row r="104" spans="1:9">
      <c r="A104" s="7" t="s">
        <v>44</v>
      </c>
      <c r="B104" s="7" t="s">
        <v>56</v>
      </c>
      <c r="C104" s="7" t="s">
        <v>34</v>
      </c>
      <c r="D104" s="7" t="s">
        <v>21</v>
      </c>
      <c r="E104" s="7">
        <v>1014.09</v>
      </c>
      <c r="F104" s="7">
        <v>13</v>
      </c>
      <c r="G104" s="7">
        <v>0.2</v>
      </c>
      <c r="H104" s="31">
        <v>45567</v>
      </c>
      <c r="I104" s="7">
        <v>202.82</v>
      </c>
    </row>
    <row r="105" spans="1:9">
      <c r="A105" s="7" t="s">
        <v>13</v>
      </c>
      <c r="B105" s="7" t="s">
        <v>48</v>
      </c>
      <c r="C105" s="7" t="s">
        <v>24</v>
      </c>
      <c r="D105" s="7" t="s">
        <v>21</v>
      </c>
      <c r="E105" s="7">
        <v>925.29</v>
      </c>
      <c r="F105" s="7">
        <v>17</v>
      </c>
      <c r="G105" s="7">
        <v>0</v>
      </c>
      <c r="H105" s="31">
        <v>45570</v>
      </c>
      <c r="I105" s="7">
        <v>231.32</v>
      </c>
    </row>
    <row r="106" spans="1:9">
      <c r="A106" s="7" t="s">
        <v>54</v>
      </c>
      <c r="B106" s="7" t="s">
        <v>47</v>
      </c>
      <c r="C106" s="7" t="s">
        <v>18</v>
      </c>
      <c r="D106" s="7" t="s">
        <v>27</v>
      </c>
      <c r="E106" s="7">
        <v>1286.54</v>
      </c>
      <c r="F106" s="7">
        <v>8</v>
      </c>
      <c r="G106" s="7">
        <v>0</v>
      </c>
      <c r="H106" s="31">
        <v>45575</v>
      </c>
      <c r="I106" s="7">
        <v>450.29</v>
      </c>
    </row>
    <row r="107" spans="1:9">
      <c r="A107" s="7" t="s">
        <v>37</v>
      </c>
      <c r="B107" s="7" t="s">
        <v>64</v>
      </c>
      <c r="C107" s="7" t="s">
        <v>20</v>
      </c>
      <c r="D107" s="7" t="s">
        <v>12</v>
      </c>
      <c r="E107" s="7">
        <v>961.62</v>
      </c>
      <c r="F107" s="7">
        <v>8</v>
      </c>
      <c r="G107" s="7">
        <v>0.2</v>
      </c>
      <c r="H107" s="31">
        <v>45577</v>
      </c>
      <c r="I107" s="7">
        <v>307.72000000000003</v>
      </c>
    </row>
    <row r="108" spans="1:9">
      <c r="A108" s="7" t="s">
        <v>44</v>
      </c>
      <c r="B108" s="7" t="s">
        <v>23</v>
      </c>
      <c r="C108" s="7" t="s">
        <v>18</v>
      </c>
      <c r="D108" s="7" t="s">
        <v>12</v>
      </c>
      <c r="E108" s="7">
        <v>1081.1400000000001</v>
      </c>
      <c r="F108" s="7">
        <v>19</v>
      </c>
      <c r="G108" s="7">
        <v>0.15</v>
      </c>
      <c r="H108" s="31">
        <v>45577</v>
      </c>
      <c r="I108" s="7">
        <v>367.59</v>
      </c>
    </row>
    <row r="109" spans="1:9">
      <c r="A109" s="7" t="s">
        <v>58</v>
      </c>
      <c r="B109" s="7" t="s">
        <v>23</v>
      </c>
      <c r="C109" s="7" t="s">
        <v>11</v>
      </c>
      <c r="D109" s="7" t="s">
        <v>15</v>
      </c>
      <c r="E109" s="7">
        <v>1923.66</v>
      </c>
      <c r="F109" s="7">
        <v>9</v>
      </c>
      <c r="G109" s="7">
        <v>0.2</v>
      </c>
      <c r="H109" s="31">
        <v>45580</v>
      </c>
      <c r="I109" s="7">
        <v>769.46</v>
      </c>
    </row>
    <row r="110" spans="1:9">
      <c r="A110" s="7" t="s">
        <v>54</v>
      </c>
      <c r="B110" s="7" t="s">
        <v>66</v>
      </c>
      <c r="C110" s="7" t="s">
        <v>34</v>
      </c>
      <c r="D110" s="7" t="s">
        <v>15</v>
      </c>
      <c r="E110" s="7">
        <v>728.71</v>
      </c>
      <c r="F110" s="7">
        <v>14</v>
      </c>
      <c r="G110" s="7">
        <v>0.1</v>
      </c>
      <c r="H110" s="31">
        <v>45581</v>
      </c>
      <c r="I110" s="7">
        <v>327.92</v>
      </c>
    </row>
    <row r="111" spans="1:9">
      <c r="A111" s="7" t="s">
        <v>9</v>
      </c>
      <c r="B111" s="7" t="s">
        <v>33</v>
      </c>
      <c r="C111" s="7" t="s">
        <v>34</v>
      </c>
      <c r="D111" s="7" t="s">
        <v>15</v>
      </c>
      <c r="E111" s="7">
        <v>1301.8900000000001</v>
      </c>
      <c r="F111" s="7">
        <v>7</v>
      </c>
      <c r="G111" s="7">
        <v>0.15</v>
      </c>
      <c r="H111" s="31">
        <v>45581</v>
      </c>
      <c r="I111" s="7">
        <v>553.29999999999995</v>
      </c>
    </row>
    <row r="112" spans="1:9">
      <c r="A112" s="7" t="s">
        <v>70</v>
      </c>
      <c r="B112" s="7" t="s">
        <v>66</v>
      </c>
      <c r="C112" s="7" t="s">
        <v>18</v>
      </c>
      <c r="D112" s="7" t="s">
        <v>12</v>
      </c>
      <c r="E112" s="7">
        <v>980.18</v>
      </c>
      <c r="F112" s="7">
        <v>16</v>
      </c>
      <c r="G112" s="7">
        <v>0.1</v>
      </c>
      <c r="H112" s="31">
        <v>45582</v>
      </c>
      <c r="I112" s="7">
        <v>352.86</v>
      </c>
    </row>
    <row r="113" spans="1:9">
      <c r="A113" s="7" t="s">
        <v>74</v>
      </c>
      <c r="B113" s="7" t="s">
        <v>23</v>
      </c>
      <c r="C113" s="7" t="s">
        <v>11</v>
      </c>
      <c r="D113" s="7" t="s">
        <v>15</v>
      </c>
      <c r="E113" s="7">
        <v>697.57</v>
      </c>
      <c r="F113" s="7">
        <v>17</v>
      </c>
      <c r="G113" s="7">
        <v>0.1</v>
      </c>
      <c r="H113" s="31">
        <v>45584</v>
      </c>
      <c r="I113" s="7">
        <v>313.91000000000003</v>
      </c>
    </row>
    <row r="114" spans="1:9">
      <c r="A114" s="7" t="s">
        <v>46</v>
      </c>
      <c r="B114" s="7" t="s">
        <v>71</v>
      </c>
      <c r="C114" s="7" t="s">
        <v>11</v>
      </c>
      <c r="D114" s="7" t="s">
        <v>27</v>
      </c>
      <c r="E114" s="7">
        <v>1193.6099999999999</v>
      </c>
      <c r="F114" s="7">
        <v>1</v>
      </c>
      <c r="G114" s="7">
        <v>0.15</v>
      </c>
      <c r="H114" s="31">
        <v>45584</v>
      </c>
      <c r="I114" s="7">
        <v>355.1</v>
      </c>
    </row>
    <row r="115" spans="1:9">
      <c r="A115" s="7" t="s">
        <v>32</v>
      </c>
      <c r="B115" s="7" t="s">
        <v>38</v>
      </c>
      <c r="C115" s="7" t="s">
        <v>20</v>
      </c>
      <c r="D115" s="7" t="s">
        <v>21</v>
      </c>
      <c r="E115" s="7">
        <v>771.02</v>
      </c>
      <c r="F115" s="7">
        <v>1</v>
      </c>
      <c r="G115" s="7">
        <v>0</v>
      </c>
      <c r="H115" s="31">
        <v>45585</v>
      </c>
      <c r="I115" s="7">
        <v>192.76</v>
      </c>
    </row>
    <row r="116" spans="1:9">
      <c r="A116" s="7" t="s">
        <v>67</v>
      </c>
      <c r="B116" s="7" t="s">
        <v>69</v>
      </c>
      <c r="C116" s="7" t="s">
        <v>24</v>
      </c>
      <c r="D116" s="7" t="s">
        <v>15</v>
      </c>
      <c r="E116" s="7">
        <v>661.09</v>
      </c>
      <c r="F116" s="7">
        <v>1</v>
      </c>
      <c r="G116" s="7">
        <v>0.2</v>
      </c>
      <c r="H116" s="31">
        <v>45593</v>
      </c>
      <c r="I116" s="7">
        <v>264.44</v>
      </c>
    </row>
    <row r="117" spans="1:9">
      <c r="A117" s="7" t="s">
        <v>13</v>
      </c>
      <c r="B117" s="7" t="s">
        <v>55</v>
      </c>
      <c r="C117" s="7" t="s">
        <v>11</v>
      </c>
      <c r="D117" s="7" t="s">
        <v>21</v>
      </c>
      <c r="E117" s="7">
        <v>688.83</v>
      </c>
      <c r="F117" s="7">
        <v>15</v>
      </c>
      <c r="G117" s="7">
        <v>0</v>
      </c>
      <c r="H117" s="31">
        <v>45595</v>
      </c>
      <c r="I117" s="7">
        <v>172.21</v>
      </c>
    </row>
    <row r="118" spans="1:9">
      <c r="A118" s="7" t="s">
        <v>73</v>
      </c>
      <c r="B118" s="7" t="s">
        <v>29</v>
      </c>
      <c r="C118" s="7" t="s">
        <v>34</v>
      </c>
      <c r="D118" s="7" t="s">
        <v>12</v>
      </c>
      <c r="E118" s="7">
        <v>1249.0999999999999</v>
      </c>
      <c r="F118" s="7">
        <v>4</v>
      </c>
      <c r="G118" s="7">
        <v>0.05</v>
      </c>
      <c r="H118" s="31">
        <v>45597</v>
      </c>
      <c r="I118" s="7">
        <v>474.66</v>
      </c>
    </row>
    <row r="119" spans="1:9">
      <c r="A119" s="7" t="s">
        <v>44</v>
      </c>
      <c r="B119" s="7" t="s">
        <v>23</v>
      </c>
      <c r="C119" s="7" t="s">
        <v>18</v>
      </c>
      <c r="D119" s="7" t="s">
        <v>39</v>
      </c>
      <c r="E119" s="7">
        <v>1014.22</v>
      </c>
      <c r="F119" s="7">
        <v>14</v>
      </c>
      <c r="G119" s="7">
        <v>0.05</v>
      </c>
      <c r="H119" s="31">
        <v>45599</v>
      </c>
      <c r="I119" s="7">
        <v>433.58</v>
      </c>
    </row>
    <row r="120" spans="1:9">
      <c r="A120" s="7" t="s">
        <v>54</v>
      </c>
      <c r="B120" s="7" t="s">
        <v>48</v>
      </c>
      <c r="C120" s="7" t="s">
        <v>18</v>
      </c>
      <c r="D120" s="7" t="s">
        <v>12</v>
      </c>
      <c r="E120" s="7">
        <v>1010.58</v>
      </c>
      <c r="F120" s="7">
        <v>2</v>
      </c>
      <c r="G120" s="7">
        <v>0.15</v>
      </c>
      <c r="H120" s="31">
        <v>45605</v>
      </c>
      <c r="I120" s="7">
        <v>343.6</v>
      </c>
    </row>
    <row r="121" spans="1:9">
      <c r="A121" s="7" t="s">
        <v>30</v>
      </c>
      <c r="B121" s="7" t="s">
        <v>59</v>
      </c>
      <c r="C121" s="7" t="s">
        <v>24</v>
      </c>
      <c r="D121" s="7" t="s">
        <v>27</v>
      </c>
      <c r="E121" s="7">
        <v>957.29</v>
      </c>
      <c r="F121" s="7">
        <v>4</v>
      </c>
      <c r="G121" s="7">
        <v>0.05</v>
      </c>
      <c r="H121" s="31">
        <v>45605</v>
      </c>
      <c r="I121" s="7">
        <v>318.3</v>
      </c>
    </row>
    <row r="122" spans="1:9">
      <c r="A122" s="7" t="s">
        <v>28</v>
      </c>
      <c r="B122" s="7" t="s">
        <v>45</v>
      </c>
      <c r="C122" s="7" t="s">
        <v>24</v>
      </c>
      <c r="D122" s="7" t="s">
        <v>27</v>
      </c>
      <c r="E122" s="7">
        <v>1077.92</v>
      </c>
      <c r="F122" s="7">
        <v>3</v>
      </c>
      <c r="G122" s="7">
        <v>0.05</v>
      </c>
      <c r="H122" s="31">
        <v>45608</v>
      </c>
      <c r="I122" s="7">
        <v>358.41</v>
      </c>
    </row>
    <row r="123" spans="1:9">
      <c r="A123" s="7" t="s">
        <v>52</v>
      </c>
      <c r="B123" s="7" t="s">
        <v>50</v>
      </c>
      <c r="C123" s="7" t="s">
        <v>20</v>
      </c>
      <c r="D123" s="7" t="s">
        <v>15</v>
      </c>
      <c r="E123" s="7">
        <v>1163.01</v>
      </c>
      <c r="F123" s="7">
        <v>5</v>
      </c>
      <c r="G123" s="7">
        <v>0</v>
      </c>
      <c r="H123" s="31">
        <v>45611</v>
      </c>
      <c r="I123" s="7">
        <v>581.5</v>
      </c>
    </row>
    <row r="124" spans="1:9">
      <c r="A124" s="7" t="s">
        <v>54</v>
      </c>
      <c r="B124" s="7" t="s">
        <v>45</v>
      </c>
      <c r="C124" s="7" t="s">
        <v>18</v>
      </c>
      <c r="D124" s="7" t="s">
        <v>39</v>
      </c>
      <c r="E124" s="7">
        <v>1014.56</v>
      </c>
      <c r="F124" s="7">
        <v>10</v>
      </c>
      <c r="G124" s="7">
        <v>0.1</v>
      </c>
      <c r="H124" s="31">
        <v>45612</v>
      </c>
      <c r="I124" s="7">
        <v>410.9</v>
      </c>
    </row>
    <row r="125" spans="1:9">
      <c r="A125" s="7" t="s">
        <v>9</v>
      </c>
      <c r="B125" s="7" t="s">
        <v>17</v>
      </c>
      <c r="C125" s="7" t="s">
        <v>20</v>
      </c>
      <c r="D125" s="7" t="s">
        <v>21</v>
      </c>
      <c r="E125" s="7">
        <v>718.04</v>
      </c>
      <c r="F125" s="7">
        <v>14</v>
      </c>
      <c r="G125" s="7">
        <v>0</v>
      </c>
      <c r="H125" s="31">
        <v>45613</v>
      </c>
      <c r="I125" s="7">
        <v>179.51</v>
      </c>
    </row>
    <row r="126" spans="1:9">
      <c r="A126" s="7" t="s">
        <v>72</v>
      </c>
      <c r="B126" s="7" t="s">
        <v>17</v>
      </c>
      <c r="C126" s="7" t="s">
        <v>34</v>
      </c>
      <c r="D126" s="7" t="s">
        <v>15</v>
      </c>
      <c r="E126" s="7">
        <v>1277.8499999999999</v>
      </c>
      <c r="F126" s="7">
        <v>18</v>
      </c>
      <c r="G126" s="7">
        <v>0.2</v>
      </c>
      <c r="H126" s="31">
        <v>45613</v>
      </c>
      <c r="I126" s="7">
        <v>511.14</v>
      </c>
    </row>
    <row r="127" spans="1:9">
      <c r="A127" s="7" t="s">
        <v>70</v>
      </c>
      <c r="B127" s="7" t="s">
        <v>23</v>
      </c>
      <c r="C127" s="7" t="s">
        <v>24</v>
      </c>
      <c r="D127" s="7" t="s">
        <v>21</v>
      </c>
      <c r="E127" s="7">
        <v>706.73</v>
      </c>
      <c r="F127" s="7">
        <v>1</v>
      </c>
      <c r="G127" s="7">
        <v>0.15</v>
      </c>
      <c r="H127" s="31">
        <v>45613</v>
      </c>
      <c r="I127" s="7">
        <v>150.18</v>
      </c>
    </row>
    <row r="128" spans="1:9">
      <c r="A128" s="7" t="s">
        <v>65</v>
      </c>
      <c r="B128" s="7" t="s">
        <v>50</v>
      </c>
      <c r="C128" s="7" t="s">
        <v>18</v>
      </c>
      <c r="D128" s="7" t="s">
        <v>21</v>
      </c>
      <c r="E128" s="7">
        <v>1410.59</v>
      </c>
      <c r="F128" s="7">
        <v>15</v>
      </c>
      <c r="G128" s="7">
        <v>0</v>
      </c>
      <c r="H128" s="31">
        <v>45615</v>
      </c>
      <c r="I128" s="7">
        <v>352.65</v>
      </c>
    </row>
    <row r="129" spans="1:9">
      <c r="A129" s="7" t="s">
        <v>32</v>
      </c>
      <c r="B129" s="7" t="s">
        <v>61</v>
      </c>
      <c r="C129" s="7" t="s">
        <v>20</v>
      </c>
      <c r="D129" s="7" t="s">
        <v>27</v>
      </c>
      <c r="E129" s="7">
        <v>1350.33</v>
      </c>
      <c r="F129" s="7">
        <v>10</v>
      </c>
      <c r="G129" s="7">
        <v>0</v>
      </c>
      <c r="H129" s="31">
        <v>45615</v>
      </c>
      <c r="I129" s="7">
        <v>472.62</v>
      </c>
    </row>
    <row r="130" spans="1:9">
      <c r="A130" s="7" t="s">
        <v>41</v>
      </c>
      <c r="B130" s="7" t="s">
        <v>45</v>
      </c>
      <c r="C130" s="7" t="s">
        <v>18</v>
      </c>
      <c r="D130" s="7" t="s">
        <v>21</v>
      </c>
      <c r="E130" s="7">
        <v>919.18</v>
      </c>
      <c r="F130" s="7">
        <v>4</v>
      </c>
      <c r="G130" s="7">
        <v>0.15</v>
      </c>
      <c r="H130" s="31">
        <v>45615</v>
      </c>
      <c r="I130" s="7">
        <v>195.33</v>
      </c>
    </row>
    <row r="131" spans="1:9">
      <c r="A131" s="7" t="s">
        <v>74</v>
      </c>
      <c r="B131" s="7" t="s">
        <v>23</v>
      </c>
      <c r="C131" s="7" t="s">
        <v>11</v>
      </c>
      <c r="D131" s="7" t="s">
        <v>21</v>
      </c>
      <c r="E131" s="7">
        <v>258.51</v>
      </c>
      <c r="F131" s="7">
        <v>19</v>
      </c>
      <c r="G131" s="7">
        <v>0</v>
      </c>
      <c r="H131" s="31">
        <v>45616</v>
      </c>
      <c r="I131" s="7">
        <v>64.63</v>
      </c>
    </row>
    <row r="132" spans="1:9">
      <c r="A132" s="7" t="s">
        <v>63</v>
      </c>
      <c r="B132" s="7" t="s">
        <v>61</v>
      </c>
      <c r="C132" s="7" t="s">
        <v>18</v>
      </c>
      <c r="D132" s="7" t="s">
        <v>12</v>
      </c>
      <c r="E132" s="7">
        <v>1213.48</v>
      </c>
      <c r="F132" s="7">
        <v>5</v>
      </c>
      <c r="G132" s="7">
        <v>0.05</v>
      </c>
      <c r="H132" s="31">
        <v>45616</v>
      </c>
      <c r="I132" s="7">
        <v>461.12</v>
      </c>
    </row>
    <row r="133" spans="1:9">
      <c r="A133" s="7" t="s">
        <v>57</v>
      </c>
      <c r="B133" s="7" t="s">
        <v>38</v>
      </c>
      <c r="C133" s="7" t="s">
        <v>34</v>
      </c>
      <c r="D133" s="7" t="s">
        <v>12</v>
      </c>
      <c r="E133" s="7">
        <v>1150.28</v>
      </c>
      <c r="F133" s="7">
        <v>8</v>
      </c>
      <c r="G133" s="7">
        <v>0.05</v>
      </c>
      <c r="H133" s="31">
        <v>45622</v>
      </c>
      <c r="I133" s="7">
        <v>437.11</v>
      </c>
    </row>
    <row r="134" spans="1:9">
      <c r="A134" s="7" t="s">
        <v>37</v>
      </c>
      <c r="B134" s="7" t="s">
        <v>71</v>
      </c>
      <c r="C134" s="7" t="s">
        <v>20</v>
      </c>
      <c r="D134" s="7" t="s">
        <v>27</v>
      </c>
      <c r="E134" s="7">
        <v>853.86</v>
      </c>
      <c r="F134" s="7">
        <v>8</v>
      </c>
      <c r="G134" s="7">
        <v>0.1</v>
      </c>
      <c r="H134" s="31">
        <v>45622</v>
      </c>
      <c r="I134" s="7">
        <v>268.97000000000003</v>
      </c>
    </row>
    <row r="135" spans="1:9">
      <c r="A135" s="7" t="s">
        <v>75</v>
      </c>
      <c r="B135" s="7" t="s">
        <v>45</v>
      </c>
      <c r="C135" s="7" t="s">
        <v>20</v>
      </c>
      <c r="D135" s="7" t="s">
        <v>21</v>
      </c>
      <c r="E135" s="7">
        <v>1061.04</v>
      </c>
      <c r="F135" s="7">
        <v>1</v>
      </c>
      <c r="G135" s="7">
        <v>0</v>
      </c>
      <c r="H135" s="31">
        <v>45624</v>
      </c>
      <c r="I135" s="7">
        <v>265.26</v>
      </c>
    </row>
    <row r="136" spans="1:9">
      <c r="A136" s="7" t="s">
        <v>28</v>
      </c>
      <c r="B136" s="7" t="s">
        <v>43</v>
      </c>
      <c r="C136" s="7" t="s">
        <v>11</v>
      </c>
      <c r="D136" s="7" t="s">
        <v>21</v>
      </c>
      <c r="E136" s="7">
        <v>894.55</v>
      </c>
      <c r="F136" s="7">
        <v>19</v>
      </c>
      <c r="G136" s="7">
        <v>0.2</v>
      </c>
      <c r="H136" s="31">
        <v>45625</v>
      </c>
      <c r="I136" s="7">
        <v>178.91</v>
      </c>
    </row>
    <row r="137" spans="1:9">
      <c r="A137" s="7" t="s">
        <v>25</v>
      </c>
      <c r="B137" s="7" t="s">
        <v>38</v>
      </c>
      <c r="C137" s="7" t="s">
        <v>24</v>
      </c>
      <c r="D137" s="7" t="s">
        <v>39</v>
      </c>
      <c r="E137" s="7">
        <v>833.91</v>
      </c>
      <c r="F137" s="7">
        <v>3</v>
      </c>
      <c r="G137" s="7">
        <v>0.05</v>
      </c>
      <c r="H137" s="31">
        <v>45626</v>
      </c>
      <c r="I137" s="7">
        <v>356.5</v>
      </c>
    </row>
    <row r="138" spans="1:9">
      <c r="A138" s="7" t="s">
        <v>58</v>
      </c>
      <c r="B138" s="7" t="s">
        <v>71</v>
      </c>
      <c r="C138" s="7" t="s">
        <v>11</v>
      </c>
      <c r="D138" s="7" t="s">
        <v>27</v>
      </c>
      <c r="E138" s="7">
        <v>820.19</v>
      </c>
      <c r="F138" s="7">
        <v>4</v>
      </c>
      <c r="G138" s="7">
        <v>0.2</v>
      </c>
      <c r="H138" s="31">
        <v>45630</v>
      </c>
      <c r="I138" s="7">
        <v>229.65</v>
      </c>
    </row>
    <row r="139" spans="1:9">
      <c r="A139" s="7" t="s">
        <v>58</v>
      </c>
      <c r="B139" s="7" t="s">
        <v>38</v>
      </c>
      <c r="C139" s="7" t="s">
        <v>34</v>
      </c>
      <c r="D139" s="7" t="s">
        <v>21</v>
      </c>
      <c r="E139" s="7">
        <v>511.74</v>
      </c>
      <c r="F139" s="7">
        <v>8</v>
      </c>
      <c r="G139" s="7">
        <v>0.05</v>
      </c>
      <c r="H139" s="31">
        <v>45631</v>
      </c>
      <c r="I139" s="7">
        <v>121.54</v>
      </c>
    </row>
    <row r="140" spans="1:9">
      <c r="A140" s="7" t="s">
        <v>65</v>
      </c>
      <c r="B140" s="7" t="s">
        <v>61</v>
      </c>
      <c r="C140" s="7" t="s">
        <v>20</v>
      </c>
      <c r="D140" s="7" t="s">
        <v>27</v>
      </c>
      <c r="E140" s="7">
        <v>806.03</v>
      </c>
      <c r="F140" s="7">
        <v>19</v>
      </c>
      <c r="G140" s="7">
        <v>0.05</v>
      </c>
      <c r="H140" s="31">
        <v>45638</v>
      </c>
      <c r="I140" s="7">
        <v>268</v>
      </c>
    </row>
    <row r="141" spans="1:9">
      <c r="A141" s="7" t="s">
        <v>28</v>
      </c>
      <c r="B141" s="7" t="s">
        <v>26</v>
      </c>
      <c r="C141" s="7" t="s">
        <v>34</v>
      </c>
      <c r="D141" s="7" t="s">
        <v>27</v>
      </c>
      <c r="E141" s="7">
        <v>1432.47</v>
      </c>
      <c r="F141" s="7">
        <v>16</v>
      </c>
      <c r="G141" s="7">
        <v>0.15</v>
      </c>
      <c r="H141" s="31">
        <v>45640</v>
      </c>
      <c r="I141" s="7">
        <v>426.16</v>
      </c>
    </row>
    <row r="142" spans="1:9">
      <c r="A142" s="7" t="s">
        <v>74</v>
      </c>
      <c r="B142" s="7" t="s">
        <v>29</v>
      </c>
      <c r="C142" s="7" t="s">
        <v>34</v>
      </c>
      <c r="D142" s="7" t="s">
        <v>21</v>
      </c>
      <c r="E142" s="7">
        <v>1488.58</v>
      </c>
      <c r="F142" s="7">
        <v>10</v>
      </c>
      <c r="G142" s="7">
        <v>0.15</v>
      </c>
      <c r="H142" s="31">
        <v>45640</v>
      </c>
      <c r="I142" s="7">
        <v>316.32</v>
      </c>
    </row>
    <row r="143" spans="1:9">
      <c r="A143" s="7" t="s">
        <v>30</v>
      </c>
      <c r="B143" s="7" t="s">
        <v>66</v>
      </c>
      <c r="C143" s="7" t="s">
        <v>18</v>
      </c>
      <c r="D143" s="7" t="s">
        <v>12</v>
      </c>
      <c r="E143" s="7">
        <v>1231.26</v>
      </c>
      <c r="F143" s="7">
        <v>9</v>
      </c>
      <c r="G143" s="7">
        <v>0</v>
      </c>
      <c r="H143" s="31">
        <v>45646</v>
      </c>
      <c r="I143" s="7">
        <v>492.5</v>
      </c>
    </row>
    <row r="144" spans="1:9">
      <c r="A144" s="7" t="s">
        <v>30</v>
      </c>
      <c r="B144" s="7" t="s">
        <v>43</v>
      </c>
      <c r="C144" s="7" t="s">
        <v>11</v>
      </c>
      <c r="D144" s="7" t="s">
        <v>21</v>
      </c>
      <c r="E144" s="7">
        <v>1161.67</v>
      </c>
      <c r="F144" s="7">
        <v>19</v>
      </c>
      <c r="G144" s="7">
        <v>0.2</v>
      </c>
      <c r="H144" s="31">
        <v>45647</v>
      </c>
      <c r="I144" s="7">
        <v>232.33</v>
      </c>
    </row>
    <row r="145" spans="1:9">
      <c r="A145" s="7" t="s">
        <v>49</v>
      </c>
      <c r="B145" s="7" t="s">
        <v>45</v>
      </c>
      <c r="C145" s="7" t="s">
        <v>34</v>
      </c>
      <c r="D145" s="7" t="s">
        <v>39</v>
      </c>
      <c r="E145" s="7">
        <v>388.23</v>
      </c>
      <c r="F145" s="7">
        <v>16</v>
      </c>
      <c r="G145" s="7">
        <v>0.05</v>
      </c>
      <c r="H145" s="31">
        <v>45650</v>
      </c>
      <c r="I145" s="7">
        <v>165.97</v>
      </c>
    </row>
    <row r="146" spans="1:9">
      <c r="A146" s="7" t="s">
        <v>72</v>
      </c>
      <c r="B146" s="7" t="s">
        <v>31</v>
      </c>
      <c r="C146" s="7" t="s">
        <v>24</v>
      </c>
      <c r="D146" s="7" t="s">
        <v>15</v>
      </c>
      <c r="E146" s="7">
        <v>1589.42</v>
      </c>
      <c r="F146" s="7">
        <v>6</v>
      </c>
      <c r="G146" s="7">
        <v>0.15</v>
      </c>
      <c r="H146" s="31">
        <v>45651</v>
      </c>
      <c r="I146" s="7">
        <v>675.5</v>
      </c>
    </row>
    <row r="147" spans="1:9">
      <c r="A147" s="7" t="s">
        <v>28</v>
      </c>
      <c r="B147" s="7" t="s">
        <v>71</v>
      </c>
      <c r="C147" s="7" t="s">
        <v>24</v>
      </c>
      <c r="D147" s="7" t="s">
        <v>15</v>
      </c>
      <c r="E147" s="7">
        <v>336.66</v>
      </c>
      <c r="F147" s="7">
        <v>13</v>
      </c>
      <c r="G147" s="7">
        <v>0.2</v>
      </c>
      <c r="H147" s="31">
        <v>45651</v>
      </c>
      <c r="I147" s="7">
        <v>134.66</v>
      </c>
    </row>
    <row r="148" spans="1:9">
      <c r="A148" s="7" t="s">
        <v>49</v>
      </c>
      <c r="B148" s="7" t="s">
        <v>23</v>
      </c>
      <c r="C148" s="7" t="s">
        <v>11</v>
      </c>
      <c r="D148" s="7" t="s">
        <v>12</v>
      </c>
      <c r="E148" s="7">
        <v>1353.79</v>
      </c>
      <c r="F148" s="7">
        <v>14</v>
      </c>
      <c r="G148" s="7">
        <v>0.1</v>
      </c>
      <c r="H148" s="31">
        <v>45656</v>
      </c>
      <c r="I148" s="7">
        <v>487.36</v>
      </c>
    </row>
    <row r="149" spans="1:9">
      <c r="A149" s="7" t="s">
        <v>63</v>
      </c>
      <c r="B149" s="7" t="s">
        <v>69</v>
      </c>
      <c r="C149" s="7" t="s">
        <v>34</v>
      </c>
      <c r="D149" s="7" t="s">
        <v>15</v>
      </c>
      <c r="E149" s="7">
        <v>662.61</v>
      </c>
      <c r="F149" s="7">
        <v>11</v>
      </c>
      <c r="G149" s="7">
        <v>0.05</v>
      </c>
      <c r="H149" s="31">
        <v>45658</v>
      </c>
      <c r="I149" s="7">
        <v>314.74</v>
      </c>
    </row>
    <row r="150" spans="1:9">
      <c r="A150" s="7" t="s">
        <v>52</v>
      </c>
      <c r="B150" s="7" t="s">
        <v>48</v>
      </c>
      <c r="C150" s="7" t="s">
        <v>24</v>
      </c>
      <c r="D150" s="7" t="s">
        <v>39</v>
      </c>
      <c r="E150" s="7">
        <v>309.42</v>
      </c>
      <c r="F150" s="7">
        <v>1</v>
      </c>
      <c r="G150" s="7">
        <v>0.2</v>
      </c>
      <c r="H150" s="31">
        <v>45658</v>
      </c>
      <c r="I150" s="7">
        <v>111.39</v>
      </c>
    </row>
    <row r="151" spans="1:9">
      <c r="A151" s="7" t="s">
        <v>63</v>
      </c>
      <c r="B151" s="7" t="s">
        <v>29</v>
      </c>
      <c r="C151" s="7" t="s">
        <v>24</v>
      </c>
      <c r="D151" s="7" t="s">
        <v>12</v>
      </c>
      <c r="E151" s="7">
        <v>884.63</v>
      </c>
      <c r="F151" s="7">
        <v>18</v>
      </c>
      <c r="G151" s="7">
        <v>0.1</v>
      </c>
      <c r="H151" s="31">
        <v>45659</v>
      </c>
      <c r="I151" s="7">
        <v>318.47000000000003</v>
      </c>
    </row>
    <row r="152" spans="1:9">
      <c r="A152" s="7" t="s">
        <v>52</v>
      </c>
      <c r="B152" s="7" t="s">
        <v>23</v>
      </c>
      <c r="C152" s="7" t="s">
        <v>34</v>
      </c>
      <c r="D152" s="7" t="s">
        <v>39</v>
      </c>
      <c r="E152" s="7">
        <v>745.05</v>
      </c>
      <c r="F152" s="7">
        <v>10</v>
      </c>
      <c r="G152" s="7">
        <v>0.1</v>
      </c>
      <c r="H152" s="31">
        <v>45660</v>
      </c>
      <c r="I152" s="7">
        <v>301.75</v>
      </c>
    </row>
    <row r="153" spans="1:9">
      <c r="A153" s="7" t="s">
        <v>60</v>
      </c>
      <c r="B153" s="7" t="s">
        <v>17</v>
      </c>
      <c r="C153" s="7" t="s">
        <v>20</v>
      </c>
      <c r="D153" s="7" t="s">
        <v>15</v>
      </c>
      <c r="E153" s="7">
        <v>870.23</v>
      </c>
      <c r="F153" s="7">
        <v>5</v>
      </c>
      <c r="G153" s="7">
        <v>0.05</v>
      </c>
      <c r="H153" s="31">
        <v>45660</v>
      </c>
      <c r="I153" s="7">
        <v>413.36</v>
      </c>
    </row>
    <row r="154" spans="1:9">
      <c r="A154" s="7" t="s">
        <v>35</v>
      </c>
      <c r="B154" s="7" t="s">
        <v>29</v>
      </c>
      <c r="C154" s="7" t="s">
        <v>11</v>
      </c>
      <c r="D154" s="7" t="s">
        <v>27</v>
      </c>
      <c r="E154" s="7">
        <v>862.19</v>
      </c>
      <c r="F154" s="7">
        <v>18</v>
      </c>
      <c r="G154" s="7">
        <v>0.05</v>
      </c>
      <c r="H154" s="31">
        <v>45663</v>
      </c>
      <c r="I154" s="7">
        <v>286.68</v>
      </c>
    </row>
    <row r="155" spans="1:9">
      <c r="A155" s="7" t="s">
        <v>73</v>
      </c>
      <c r="B155" s="7" t="s">
        <v>59</v>
      </c>
      <c r="C155" s="7" t="s">
        <v>24</v>
      </c>
      <c r="D155" s="7" t="s">
        <v>15</v>
      </c>
      <c r="E155" s="7">
        <v>1171.18</v>
      </c>
      <c r="F155" s="7">
        <v>19</v>
      </c>
      <c r="G155" s="7">
        <v>0.05</v>
      </c>
      <c r="H155" s="31">
        <v>45667</v>
      </c>
      <c r="I155" s="7">
        <v>556.30999999999995</v>
      </c>
    </row>
    <row r="156" spans="1:9">
      <c r="A156" s="7" t="s">
        <v>58</v>
      </c>
      <c r="B156" s="7" t="s">
        <v>14</v>
      </c>
      <c r="C156" s="7" t="s">
        <v>20</v>
      </c>
      <c r="D156" s="7" t="s">
        <v>27</v>
      </c>
      <c r="E156" s="7">
        <v>1054.56</v>
      </c>
      <c r="F156" s="7">
        <v>11</v>
      </c>
      <c r="G156" s="7">
        <v>0.1</v>
      </c>
      <c r="H156" s="31">
        <v>45669</v>
      </c>
      <c r="I156" s="7">
        <v>332.19</v>
      </c>
    </row>
    <row r="157" spans="1:9">
      <c r="A157" s="7" t="s">
        <v>58</v>
      </c>
      <c r="B157" s="7" t="s">
        <v>23</v>
      </c>
      <c r="C157" s="7" t="s">
        <v>24</v>
      </c>
      <c r="D157" s="7" t="s">
        <v>21</v>
      </c>
      <c r="E157" s="7">
        <v>1681.21</v>
      </c>
      <c r="F157" s="7">
        <v>5</v>
      </c>
      <c r="G157" s="7">
        <v>0.2</v>
      </c>
      <c r="H157" s="31">
        <v>45670</v>
      </c>
      <c r="I157" s="7">
        <v>336.24</v>
      </c>
    </row>
    <row r="158" spans="1:9">
      <c r="A158" s="7" t="s">
        <v>58</v>
      </c>
      <c r="B158" s="7" t="s">
        <v>36</v>
      </c>
      <c r="C158" s="7" t="s">
        <v>11</v>
      </c>
      <c r="D158" s="7" t="s">
        <v>15</v>
      </c>
      <c r="E158" s="7">
        <v>379.77</v>
      </c>
      <c r="F158" s="7">
        <v>9</v>
      </c>
      <c r="G158" s="7">
        <v>0.05</v>
      </c>
      <c r="H158" s="31">
        <v>45673</v>
      </c>
      <c r="I158" s="7">
        <v>180.39</v>
      </c>
    </row>
    <row r="159" spans="1:9">
      <c r="A159" s="7" t="s">
        <v>44</v>
      </c>
      <c r="B159" s="7" t="s">
        <v>45</v>
      </c>
      <c r="C159" s="7" t="s">
        <v>34</v>
      </c>
      <c r="D159" s="7" t="s">
        <v>15</v>
      </c>
      <c r="E159" s="7">
        <v>1076.33</v>
      </c>
      <c r="F159" s="7">
        <v>2</v>
      </c>
      <c r="G159" s="7">
        <v>0.1</v>
      </c>
      <c r="H159" s="31">
        <v>45674</v>
      </c>
      <c r="I159" s="7">
        <v>484.35</v>
      </c>
    </row>
    <row r="160" spans="1:9">
      <c r="A160" s="7" t="s">
        <v>44</v>
      </c>
      <c r="B160" s="7" t="s">
        <v>31</v>
      </c>
      <c r="C160" s="7" t="s">
        <v>34</v>
      </c>
      <c r="D160" s="7" t="s">
        <v>39</v>
      </c>
      <c r="E160" s="7">
        <v>1250.71</v>
      </c>
      <c r="F160" s="7">
        <v>7</v>
      </c>
      <c r="G160" s="7">
        <v>0</v>
      </c>
      <c r="H160" s="31">
        <v>45674</v>
      </c>
      <c r="I160" s="7">
        <v>562.82000000000005</v>
      </c>
    </row>
    <row r="161" spans="1:9">
      <c r="A161" s="7" t="s">
        <v>40</v>
      </c>
      <c r="B161" s="7" t="s">
        <v>17</v>
      </c>
      <c r="C161" s="7" t="s">
        <v>20</v>
      </c>
      <c r="D161" s="7" t="s">
        <v>15</v>
      </c>
      <c r="E161" s="7">
        <v>1118.3399999999999</v>
      </c>
      <c r="F161" s="7">
        <v>6</v>
      </c>
      <c r="G161" s="7">
        <v>0.2</v>
      </c>
      <c r="H161" s="31">
        <v>45674</v>
      </c>
      <c r="I161" s="7">
        <v>447.34</v>
      </c>
    </row>
    <row r="162" spans="1:9">
      <c r="A162" s="7" t="s">
        <v>70</v>
      </c>
      <c r="B162" s="7" t="s">
        <v>53</v>
      </c>
      <c r="C162" s="7" t="s">
        <v>24</v>
      </c>
      <c r="D162" s="7" t="s">
        <v>15</v>
      </c>
      <c r="E162" s="7">
        <v>1622.62</v>
      </c>
      <c r="F162" s="7">
        <v>12</v>
      </c>
      <c r="G162" s="7">
        <v>0.2</v>
      </c>
      <c r="H162" s="31">
        <v>45677</v>
      </c>
      <c r="I162" s="7">
        <v>649.04999999999995</v>
      </c>
    </row>
    <row r="163" spans="1:9">
      <c r="A163" s="7" t="s">
        <v>75</v>
      </c>
      <c r="B163" s="7" t="s">
        <v>48</v>
      </c>
      <c r="C163" s="7" t="s">
        <v>24</v>
      </c>
      <c r="D163" s="7" t="s">
        <v>12</v>
      </c>
      <c r="E163" s="7">
        <v>640.64</v>
      </c>
      <c r="F163" s="7">
        <v>11</v>
      </c>
      <c r="G163" s="7">
        <v>0.2</v>
      </c>
      <c r="H163" s="31">
        <v>45678</v>
      </c>
      <c r="I163" s="7">
        <v>205</v>
      </c>
    </row>
    <row r="164" spans="1:9">
      <c r="A164" s="7" t="s">
        <v>22</v>
      </c>
      <c r="B164" s="7" t="s">
        <v>43</v>
      </c>
      <c r="C164" s="7" t="s">
        <v>11</v>
      </c>
      <c r="D164" s="7" t="s">
        <v>15</v>
      </c>
      <c r="E164" s="7">
        <v>585.16</v>
      </c>
      <c r="F164" s="7">
        <v>17</v>
      </c>
      <c r="G164" s="7">
        <v>0.1</v>
      </c>
      <c r="H164" s="31">
        <v>45684</v>
      </c>
      <c r="I164" s="7">
        <v>263.32</v>
      </c>
    </row>
    <row r="165" spans="1:9">
      <c r="A165" s="7" t="s">
        <v>22</v>
      </c>
      <c r="B165" s="7" t="s">
        <v>31</v>
      </c>
      <c r="C165" s="7" t="s">
        <v>18</v>
      </c>
      <c r="D165" s="7" t="s">
        <v>15</v>
      </c>
      <c r="E165" s="7">
        <v>1109.98</v>
      </c>
      <c r="F165" s="7">
        <v>5</v>
      </c>
      <c r="G165" s="7">
        <v>0.2</v>
      </c>
      <c r="H165" s="31">
        <v>45690</v>
      </c>
      <c r="I165" s="7">
        <v>443.99</v>
      </c>
    </row>
    <row r="166" spans="1:9">
      <c r="A166" s="7" t="s">
        <v>58</v>
      </c>
      <c r="B166" s="7" t="s">
        <v>45</v>
      </c>
      <c r="C166" s="7" t="s">
        <v>18</v>
      </c>
      <c r="D166" s="7" t="s">
        <v>12</v>
      </c>
      <c r="E166" s="7">
        <v>1098.08</v>
      </c>
      <c r="F166" s="7">
        <v>9</v>
      </c>
      <c r="G166" s="7">
        <v>0.1</v>
      </c>
      <c r="H166" s="31">
        <v>45692</v>
      </c>
      <c r="I166" s="7">
        <v>395.31</v>
      </c>
    </row>
    <row r="167" spans="1:9">
      <c r="A167" s="7" t="s">
        <v>65</v>
      </c>
      <c r="B167" s="7" t="s">
        <v>48</v>
      </c>
      <c r="C167" s="7" t="s">
        <v>11</v>
      </c>
      <c r="D167" s="7" t="s">
        <v>39</v>
      </c>
      <c r="E167" s="7">
        <v>827.25</v>
      </c>
      <c r="F167" s="7">
        <v>7</v>
      </c>
      <c r="G167" s="7">
        <v>0.1</v>
      </c>
      <c r="H167" s="31">
        <v>45693</v>
      </c>
      <c r="I167" s="7">
        <v>335.04</v>
      </c>
    </row>
    <row r="168" spans="1:9">
      <c r="A168" s="7" t="s">
        <v>70</v>
      </c>
      <c r="B168" s="7" t="s">
        <v>29</v>
      </c>
      <c r="C168" s="7" t="s">
        <v>34</v>
      </c>
      <c r="D168" s="7" t="s">
        <v>15</v>
      </c>
      <c r="E168" s="7">
        <v>741.88</v>
      </c>
      <c r="F168" s="7">
        <v>16</v>
      </c>
      <c r="G168" s="7">
        <v>0.1</v>
      </c>
      <c r="H168" s="31">
        <v>45695</v>
      </c>
      <c r="I168" s="7">
        <v>333.85</v>
      </c>
    </row>
    <row r="169" spans="1:9">
      <c r="A169" s="7" t="s">
        <v>72</v>
      </c>
      <c r="B169" s="7" t="s">
        <v>10</v>
      </c>
      <c r="C169" s="7" t="s">
        <v>18</v>
      </c>
      <c r="D169" s="7" t="s">
        <v>39</v>
      </c>
      <c r="E169" s="7">
        <v>1311.26</v>
      </c>
      <c r="F169" s="7">
        <v>6</v>
      </c>
      <c r="G169" s="7">
        <v>0.1</v>
      </c>
      <c r="H169" s="31">
        <v>45698</v>
      </c>
      <c r="I169" s="7">
        <v>531.05999999999995</v>
      </c>
    </row>
    <row r="170" spans="1:9">
      <c r="A170" s="7" t="s">
        <v>72</v>
      </c>
      <c r="B170" s="7" t="s">
        <v>31</v>
      </c>
      <c r="C170" s="7" t="s">
        <v>20</v>
      </c>
      <c r="D170" s="7" t="s">
        <v>39</v>
      </c>
      <c r="E170" s="7">
        <v>573.32000000000005</v>
      </c>
      <c r="F170" s="7">
        <v>19</v>
      </c>
      <c r="G170" s="7">
        <v>0.1</v>
      </c>
      <c r="H170" s="31">
        <v>45703</v>
      </c>
      <c r="I170" s="7">
        <v>232.19</v>
      </c>
    </row>
    <row r="171" spans="1:9">
      <c r="A171" s="7" t="s">
        <v>52</v>
      </c>
      <c r="B171" s="7" t="s">
        <v>23</v>
      </c>
      <c r="C171" s="7" t="s">
        <v>11</v>
      </c>
      <c r="D171" s="7" t="s">
        <v>21</v>
      </c>
      <c r="E171" s="7">
        <v>1115.22</v>
      </c>
      <c r="F171" s="7">
        <v>14</v>
      </c>
      <c r="G171" s="7">
        <v>0.2</v>
      </c>
      <c r="H171" s="31">
        <v>45705</v>
      </c>
      <c r="I171" s="7">
        <v>223.04</v>
      </c>
    </row>
    <row r="172" spans="1:9">
      <c r="A172" s="7" t="s">
        <v>13</v>
      </c>
      <c r="B172" s="7" t="s">
        <v>45</v>
      </c>
      <c r="C172" s="7" t="s">
        <v>24</v>
      </c>
      <c r="D172" s="7" t="s">
        <v>15</v>
      </c>
      <c r="E172" s="7">
        <v>845.84</v>
      </c>
      <c r="F172" s="7">
        <v>4</v>
      </c>
      <c r="G172" s="7">
        <v>0</v>
      </c>
      <c r="H172" s="31">
        <v>45707</v>
      </c>
      <c r="I172" s="7">
        <v>422.92</v>
      </c>
    </row>
    <row r="173" spans="1:9">
      <c r="A173" s="7" t="s">
        <v>30</v>
      </c>
      <c r="B173" s="7" t="s">
        <v>55</v>
      </c>
      <c r="C173" s="7" t="s">
        <v>11</v>
      </c>
      <c r="D173" s="7" t="s">
        <v>21</v>
      </c>
      <c r="E173" s="7">
        <v>1029.8</v>
      </c>
      <c r="F173" s="7">
        <v>3</v>
      </c>
      <c r="G173" s="7">
        <v>0</v>
      </c>
      <c r="H173" s="31">
        <v>45708</v>
      </c>
      <c r="I173" s="7">
        <v>257.45</v>
      </c>
    </row>
    <row r="174" spans="1:9">
      <c r="A174" s="7" t="s">
        <v>32</v>
      </c>
      <c r="B174" s="7" t="s">
        <v>31</v>
      </c>
      <c r="C174" s="7" t="s">
        <v>24</v>
      </c>
      <c r="D174" s="7" t="s">
        <v>12</v>
      </c>
      <c r="E174" s="7">
        <v>1189.83</v>
      </c>
      <c r="F174" s="7">
        <v>2</v>
      </c>
      <c r="G174" s="7">
        <v>0.2</v>
      </c>
      <c r="H174" s="31">
        <v>45709</v>
      </c>
      <c r="I174" s="7">
        <v>380.75</v>
      </c>
    </row>
    <row r="175" spans="1:9">
      <c r="A175" s="7" t="s">
        <v>67</v>
      </c>
      <c r="B175" s="7" t="s">
        <v>43</v>
      </c>
      <c r="C175" s="7" t="s">
        <v>20</v>
      </c>
      <c r="D175" s="7" t="s">
        <v>12</v>
      </c>
      <c r="E175" s="7">
        <v>704.28</v>
      </c>
      <c r="F175" s="7">
        <v>15</v>
      </c>
      <c r="G175" s="7">
        <v>0.2</v>
      </c>
      <c r="H175" s="31">
        <v>45712</v>
      </c>
      <c r="I175" s="7">
        <v>225.37</v>
      </c>
    </row>
    <row r="176" spans="1:9">
      <c r="A176" s="7" t="s">
        <v>65</v>
      </c>
      <c r="B176" s="7" t="s">
        <v>47</v>
      </c>
      <c r="C176" s="7" t="s">
        <v>34</v>
      </c>
      <c r="D176" s="7" t="s">
        <v>39</v>
      </c>
      <c r="E176" s="7">
        <v>1618.22</v>
      </c>
      <c r="F176" s="7">
        <v>12</v>
      </c>
      <c r="G176" s="7">
        <v>0.2</v>
      </c>
      <c r="H176" s="31">
        <v>45712</v>
      </c>
      <c r="I176" s="7">
        <v>582.55999999999995</v>
      </c>
    </row>
    <row r="177" spans="1:9">
      <c r="A177" s="7" t="s">
        <v>73</v>
      </c>
      <c r="B177" s="7" t="s">
        <v>53</v>
      </c>
      <c r="C177" s="7" t="s">
        <v>34</v>
      </c>
      <c r="D177" s="7" t="s">
        <v>12</v>
      </c>
      <c r="E177" s="7">
        <v>1014.43</v>
      </c>
      <c r="F177" s="7">
        <v>2</v>
      </c>
      <c r="G177" s="7">
        <v>0.15</v>
      </c>
      <c r="H177" s="31">
        <v>45713</v>
      </c>
      <c r="I177" s="7">
        <v>344.91</v>
      </c>
    </row>
    <row r="178" spans="1:9">
      <c r="A178" s="7" t="s">
        <v>75</v>
      </c>
      <c r="B178" s="7" t="s">
        <v>31</v>
      </c>
      <c r="C178" s="7" t="s">
        <v>34</v>
      </c>
      <c r="D178" s="7" t="s">
        <v>15</v>
      </c>
      <c r="E178" s="7">
        <v>826.97</v>
      </c>
      <c r="F178" s="7">
        <v>18</v>
      </c>
      <c r="G178" s="7">
        <v>0.2</v>
      </c>
      <c r="H178" s="31">
        <v>45715</v>
      </c>
      <c r="I178" s="7">
        <v>330.79</v>
      </c>
    </row>
    <row r="179" spans="1:9">
      <c r="A179" s="7" t="s">
        <v>16</v>
      </c>
      <c r="B179" s="7" t="s">
        <v>31</v>
      </c>
      <c r="C179" s="7" t="s">
        <v>34</v>
      </c>
      <c r="D179" s="7" t="s">
        <v>15</v>
      </c>
      <c r="E179" s="7">
        <v>1022.23</v>
      </c>
      <c r="F179" s="7">
        <v>8</v>
      </c>
      <c r="G179" s="7">
        <v>0.1</v>
      </c>
      <c r="H179" s="31">
        <v>45717</v>
      </c>
      <c r="I179" s="7">
        <v>460</v>
      </c>
    </row>
    <row r="180" spans="1:9">
      <c r="A180" s="7" t="s">
        <v>72</v>
      </c>
      <c r="B180" s="7" t="s">
        <v>29</v>
      </c>
      <c r="C180" s="7" t="s">
        <v>18</v>
      </c>
      <c r="D180" s="7" t="s">
        <v>12</v>
      </c>
      <c r="E180" s="7">
        <v>1099.69</v>
      </c>
      <c r="F180" s="7">
        <v>6</v>
      </c>
      <c r="G180" s="7">
        <v>0</v>
      </c>
      <c r="H180" s="31">
        <v>45718</v>
      </c>
      <c r="I180" s="7">
        <v>439.88</v>
      </c>
    </row>
    <row r="181" spans="1:9">
      <c r="A181" s="7" t="s">
        <v>52</v>
      </c>
      <c r="B181" s="7" t="s">
        <v>64</v>
      </c>
      <c r="C181" s="7" t="s">
        <v>24</v>
      </c>
      <c r="D181" s="7" t="s">
        <v>12</v>
      </c>
      <c r="E181" s="7">
        <v>710.52</v>
      </c>
      <c r="F181" s="7">
        <v>8</v>
      </c>
      <c r="G181" s="7">
        <v>0.1</v>
      </c>
      <c r="H181" s="31">
        <v>45721</v>
      </c>
      <c r="I181" s="7">
        <v>255.79</v>
      </c>
    </row>
    <row r="182" spans="1:9">
      <c r="A182" s="7" t="s">
        <v>52</v>
      </c>
      <c r="B182" s="7" t="s">
        <v>59</v>
      </c>
      <c r="C182" s="7" t="s">
        <v>24</v>
      </c>
      <c r="D182" s="7" t="s">
        <v>12</v>
      </c>
      <c r="E182" s="7">
        <v>499.18</v>
      </c>
      <c r="F182" s="7">
        <v>15</v>
      </c>
      <c r="G182" s="7">
        <v>0.2</v>
      </c>
      <c r="H182" s="31">
        <v>45724</v>
      </c>
      <c r="I182" s="7">
        <v>159.74</v>
      </c>
    </row>
    <row r="183" spans="1:9">
      <c r="A183" s="7" t="s">
        <v>37</v>
      </c>
      <c r="B183" s="7" t="s">
        <v>38</v>
      </c>
      <c r="C183" s="7" t="s">
        <v>20</v>
      </c>
      <c r="D183" s="7" t="s">
        <v>12</v>
      </c>
      <c r="E183" s="7">
        <v>1064.19</v>
      </c>
      <c r="F183" s="7">
        <v>18</v>
      </c>
      <c r="G183" s="7">
        <v>0.05</v>
      </c>
      <c r="H183" s="31">
        <v>45725</v>
      </c>
      <c r="I183" s="7">
        <v>404.39</v>
      </c>
    </row>
    <row r="184" spans="1:9">
      <c r="A184" s="7" t="s">
        <v>67</v>
      </c>
      <c r="B184" s="7" t="s">
        <v>38</v>
      </c>
      <c r="C184" s="7" t="s">
        <v>18</v>
      </c>
      <c r="D184" s="7" t="s">
        <v>39</v>
      </c>
      <c r="E184" s="7">
        <v>438.76</v>
      </c>
      <c r="F184" s="7">
        <v>18</v>
      </c>
      <c r="G184" s="7">
        <v>0.05</v>
      </c>
      <c r="H184" s="31">
        <v>45726</v>
      </c>
      <c r="I184" s="7">
        <v>187.57</v>
      </c>
    </row>
    <row r="185" spans="1:9">
      <c r="A185" s="7" t="s">
        <v>41</v>
      </c>
      <c r="B185" s="7" t="s">
        <v>55</v>
      </c>
      <c r="C185" s="7" t="s">
        <v>11</v>
      </c>
      <c r="D185" s="7" t="s">
        <v>15</v>
      </c>
      <c r="E185" s="7">
        <v>864.98</v>
      </c>
      <c r="F185" s="7">
        <v>2</v>
      </c>
      <c r="G185" s="7">
        <v>0.05</v>
      </c>
      <c r="H185" s="31">
        <v>45727</v>
      </c>
      <c r="I185" s="7">
        <v>410.87</v>
      </c>
    </row>
    <row r="186" spans="1:9">
      <c r="A186" s="7" t="s">
        <v>57</v>
      </c>
      <c r="B186" s="7" t="s">
        <v>55</v>
      </c>
      <c r="C186" s="7" t="s">
        <v>11</v>
      </c>
      <c r="D186" s="7" t="s">
        <v>27</v>
      </c>
      <c r="E186" s="7">
        <v>984.93</v>
      </c>
      <c r="F186" s="7">
        <v>14</v>
      </c>
      <c r="G186" s="7">
        <v>0.2</v>
      </c>
      <c r="H186" s="31">
        <v>45733</v>
      </c>
      <c r="I186" s="7">
        <v>275.77999999999997</v>
      </c>
    </row>
    <row r="187" spans="1:9">
      <c r="A187" s="7" t="s">
        <v>25</v>
      </c>
      <c r="B187" s="7" t="s">
        <v>55</v>
      </c>
      <c r="C187" s="7" t="s">
        <v>11</v>
      </c>
      <c r="D187" s="7" t="s">
        <v>15</v>
      </c>
      <c r="E187" s="7">
        <v>1493.49</v>
      </c>
      <c r="F187" s="7">
        <v>18</v>
      </c>
      <c r="G187" s="7">
        <v>0</v>
      </c>
      <c r="H187" s="31">
        <v>45734</v>
      </c>
      <c r="I187" s="7">
        <v>746.74</v>
      </c>
    </row>
    <row r="188" spans="1:9">
      <c r="A188" s="7" t="s">
        <v>32</v>
      </c>
      <c r="B188" s="7" t="s">
        <v>53</v>
      </c>
      <c r="C188" s="7" t="s">
        <v>20</v>
      </c>
      <c r="D188" s="7" t="s">
        <v>15</v>
      </c>
      <c r="E188" s="7">
        <v>689.43</v>
      </c>
      <c r="F188" s="7">
        <v>9</v>
      </c>
      <c r="G188" s="7">
        <v>0.1</v>
      </c>
      <c r="H188" s="31">
        <v>45736</v>
      </c>
      <c r="I188" s="7">
        <v>310.24</v>
      </c>
    </row>
    <row r="189" spans="1:9">
      <c r="A189" s="7" t="s">
        <v>40</v>
      </c>
      <c r="B189" s="7" t="s">
        <v>59</v>
      </c>
      <c r="C189" s="7" t="s">
        <v>20</v>
      </c>
      <c r="D189" s="7" t="s">
        <v>15</v>
      </c>
      <c r="E189" s="7">
        <v>682.24</v>
      </c>
      <c r="F189" s="7">
        <v>1</v>
      </c>
      <c r="G189" s="7">
        <v>0</v>
      </c>
      <c r="H189" s="31">
        <v>45738</v>
      </c>
      <c r="I189" s="7">
        <v>341.12</v>
      </c>
    </row>
    <row r="190" spans="1:9">
      <c r="A190" s="7" t="s">
        <v>41</v>
      </c>
      <c r="B190" s="7" t="s">
        <v>26</v>
      </c>
      <c r="C190" s="7" t="s">
        <v>24</v>
      </c>
      <c r="D190" s="7" t="s">
        <v>21</v>
      </c>
      <c r="E190" s="7">
        <v>458.54</v>
      </c>
      <c r="F190" s="7">
        <v>15</v>
      </c>
      <c r="G190" s="7">
        <v>0.2</v>
      </c>
      <c r="H190" s="31">
        <v>45741</v>
      </c>
      <c r="I190" s="7">
        <v>91.71</v>
      </c>
    </row>
    <row r="191" spans="1:9">
      <c r="A191" s="7" t="s">
        <v>32</v>
      </c>
      <c r="B191" s="7" t="s">
        <v>26</v>
      </c>
      <c r="C191" s="7" t="s">
        <v>20</v>
      </c>
      <c r="D191" s="7" t="s">
        <v>27</v>
      </c>
      <c r="E191" s="7">
        <v>1184.25</v>
      </c>
      <c r="F191" s="7">
        <v>11</v>
      </c>
      <c r="G191" s="7">
        <v>0.2</v>
      </c>
      <c r="H191" s="31">
        <v>45742</v>
      </c>
      <c r="I191" s="7">
        <v>331.59</v>
      </c>
    </row>
    <row r="192" spans="1:9">
      <c r="A192" s="7" t="s">
        <v>25</v>
      </c>
      <c r="B192" s="7" t="s">
        <v>10</v>
      </c>
      <c r="C192" s="7" t="s">
        <v>20</v>
      </c>
      <c r="D192" s="7" t="s">
        <v>15</v>
      </c>
      <c r="E192" s="7">
        <v>762.14</v>
      </c>
      <c r="F192" s="7">
        <v>9</v>
      </c>
      <c r="G192" s="7">
        <v>0</v>
      </c>
      <c r="H192" s="31">
        <v>45743</v>
      </c>
      <c r="I192" s="7">
        <v>381.07</v>
      </c>
    </row>
    <row r="193" spans="1:9">
      <c r="A193" s="7" t="s">
        <v>22</v>
      </c>
      <c r="B193" s="7" t="s">
        <v>53</v>
      </c>
      <c r="C193" s="7" t="s">
        <v>24</v>
      </c>
      <c r="D193" s="7" t="s">
        <v>12</v>
      </c>
      <c r="E193" s="7">
        <v>750.71</v>
      </c>
      <c r="F193" s="7">
        <v>10</v>
      </c>
      <c r="G193" s="7">
        <v>0.15</v>
      </c>
      <c r="H193" s="31">
        <v>45743</v>
      </c>
      <c r="I193" s="7">
        <v>255.24</v>
      </c>
    </row>
    <row r="194" spans="1:9">
      <c r="A194" s="7" t="s">
        <v>75</v>
      </c>
      <c r="B194" s="7" t="s">
        <v>71</v>
      </c>
      <c r="C194" s="7" t="s">
        <v>34</v>
      </c>
      <c r="D194" s="7" t="s">
        <v>15</v>
      </c>
      <c r="E194" s="7">
        <v>1456.94</v>
      </c>
      <c r="F194" s="7">
        <v>14</v>
      </c>
      <c r="G194" s="7">
        <v>0.05</v>
      </c>
      <c r="H194" s="31">
        <v>45745</v>
      </c>
      <c r="I194" s="7">
        <v>692.05</v>
      </c>
    </row>
    <row r="195" spans="1:9">
      <c r="A195" s="7" t="s">
        <v>44</v>
      </c>
      <c r="B195" s="7" t="s">
        <v>61</v>
      </c>
      <c r="C195" s="7" t="s">
        <v>18</v>
      </c>
      <c r="D195" s="7" t="s">
        <v>27</v>
      </c>
      <c r="E195" s="7">
        <v>1093.3800000000001</v>
      </c>
      <c r="F195" s="7">
        <v>17</v>
      </c>
      <c r="G195" s="7">
        <v>0.1</v>
      </c>
      <c r="H195" s="31">
        <v>45745</v>
      </c>
      <c r="I195" s="7">
        <v>344.41</v>
      </c>
    </row>
    <row r="196" spans="1:9">
      <c r="A196" s="7" t="s">
        <v>37</v>
      </c>
      <c r="B196" s="7" t="s">
        <v>43</v>
      </c>
      <c r="C196" s="7" t="s">
        <v>11</v>
      </c>
      <c r="D196" s="7" t="s">
        <v>15</v>
      </c>
      <c r="E196" s="7">
        <v>934.27</v>
      </c>
      <c r="F196" s="7">
        <v>8</v>
      </c>
      <c r="G196" s="7">
        <v>0.15</v>
      </c>
      <c r="H196" s="31">
        <v>45746</v>
      </c>
      <c r="I196" s="7">
        <v>397.06</v>
      </c>
    </row>
    <row r="197" spans="1:9">
      <c r="A197" s="7" t="s">
        <v>70</v>
      </c>
      <c r="B197" s="7" t="s">
        <v>36</v>
      </c>
      <c r="C197" s="7" t="s">
        <v>34</v>
      </c>
      <c r="D197" s="7" t="s">
        <v>15</v>
      </c>
      <c r="E197" s="7">
        <v>1465.35</v>
      </c>
      <c r="F197" s="7">
        <v>8</v>
      </c>
      <c r="G197" s="7">
        <v>0.2</v>
      </c>
      <c r="H197" s="31">
        <v>45746</v>
      </c>
      <c r="I197" s="7">
        <v>586.14</v>
      </c>
    </row>
    <row r="198" spans="1:9">
      <c r="A198" s="7" t="s">
        <v>52</v>
      </c>
      <c r="B198" s="7" t="s">
        <v>14</v>
      </c>
      <c r="C198" s="7" t="s">
        <v>20</v>
      </c>
      <c r="D198" s="7" t="s">
        <v>39</v>
      </c>
      <c r="E198" s="7">
        <v>740.8</v>
      </c>
      <c r="F198" s="7">
        <v>3</v>
      </c>
      <c r="G198" s="7">
        <v>0</v>
      </c>
      <c r="H198" s="31">
        <v>45749</v>
      </c>
      <c r="I198" s="7">
        <v>333.36</v>
      </c>
    </row>
    <row r="199" spans="1:9">
      <c r="A199" s="7" t="s">
        <v>58</v>
      </c>
      <c r="B199" s="7" t="s">
        <v>43</v>
      </c>
      <c r="C199" s="7" t="s">
        <v>11</v>
      </c>
      <c r="D199" s="7" t="s">
        <v>39</v>
      </c>
      <c r="E199" s="7">
        <v>545.44000000000005</v>
      </c>
      <c r="F199" s="7">
        <v>17</v>
      </c>
      <c r="G199" s="7">
        <v>0</v>
      </c>
      <c r="H199" s="31">
        <v>45752</v>
      </c>
      <c r="I199" s="7">
        <v>245.45</v>
      </c>
    </row>
    <row r="200" spans="1:9">
      <c r="A200" s="7" t="s">
        <v>35</v>
      </c>
      <c r="B200" s="7" t="s">
        <v>36</v>
      </c>
      <c r="C200" s="7" t="s">
        <v>18</v>
      </c>
      <c r="D200" s="7" t="s">
        <v>12</v>
      </c>
      <c r="E200" s="7">
        <v>997.61</v>
      </c>
      <c r="F200" s="7">
        <v>8</v>
      </c>
      <c r="G200" s="7">
        <v>0.05</v>
      </c>
      <c r="H200" s="31">
        <v>45752</v>
      </c>
      <c r="I200" s="7">
        <v>379.09</v>
      </c>
    </row>
    <row r="201" spans="1:9">
      <c r="A201" s="7" t="s">
        <v>60</v>
      </c>
      <c r="B201" s="7" t="s">
        <v>36</v>
      </c>
      <c r="C201" s="7" t="s">
        <v>20</v>
      </c>
      <c r="D201" s="7" t="s">
        <v>15</v>
      </c>
      <c r="E201" s="7">
        <v>928.32</v>
      </c>
      <c r="F201" s="7">
        <v>2</v>
      </c>
      <c r="G201" s="7">
        <v>0.05</v>
      </c>
      <c r="H201" s="31">
        <v>45754</v>
      </c>
      <c r="I201" s="7">
        <v>440.95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tabSelected="1" topLeftCell="A10" zoomScale="99" zoomScaleNormal="50" workbookViewId="0">
      <selection activeCell="E22" sqref="E22"/>
    </sheetView>
  </sheetViews>
  <sheetFormatPr defaultColWidth="8.88671875" defaultRowHeight="14.4"/>
  <cols>
    <col min="1" max="1" width="10" customWidth="1"/>
    <col min="9" max="9" width="10.6640625"/>
    <col min="10" max="10" width="9.5546875" customWidth="1"/>
    <col min="11" max="11" width="10.6640625"/>
    <col min="13" max="13" width="10.6640625"/>
  </cols>
  <sheetData>
    <row r="1" spans="1:14">
      <c r="A1" s="32" t="s">
        <v>76</v>
      </c>
      <c r="B1" s="33"/>
      <c r="C1" s="33"/>
      <c r="D1" s="33"/>
      <c r="E1" s="33"/>
      <c r="G1" s="32" t="s">
        <v>77</v>
      </c>
      <c r="H1" s="32"/>
      <c r="I1" s="32"/>
      <c r="J1" s="32"/>
      <c r="K1" s="32"/>
      <c r="L1" s="32"/>
    </row>
    <row r="2" spans="1:14">
      <c r="A2" s="33"/>
      <c r="B2" s="33"/>
      <c r="C2" s="33"/>
      <c r="D2" s="33"/>
      <c r="E2" s="33"/>
      <c r="G2" s="32"/>
      <c r="H2" s="32"/>
      <c r="I2" s="32"/>
      <c r="J2" s="32"/>
      <c r="K2" s="32"/>
      <c r="L2" s="32"/>
    </row>
    <row r="3" spans="1:14" ht="28.8">
      <c r="A3" s="1" t="s">
        <v>0</v>
      </c>
      <c r="B3" s="2" t="s">
        <v>4</v>
      </c>
      <c r="G3" s="3" t="s">
        <v>6</v>
      </c>
      <c r="H3" s="3" t="s">
        <v>4</v>
      </c>
      <c r="I3" s="3" t="s">
        <v>78</v>
      </c>
      <c r="J3" s="3" t="s">
        <v>8</v>
      </c>
      <c r="K3" s="3" t="s">
        <v>79</v>
      </c>
    </row>
    <row r="4" spans="1:14">
      <c r="A4" t="str" cm="1">
        <f t="array" ref="A4:A33">_xlfn.UNIQUE(Sheet1!A2:A201)</f>
        <v>CUST019</v>
      </c>
      <c r="B4">
        <f>SUMIF(Sheet1!A:A,A4,Sheet1!E:E)</f>
        <v>4640.1099999999997</v>
      </c>
      <c r="G4">
        <v>0.2</v>
      </c>
      <c r="H4">
        <v>1036.0899999999999</v>
      </c>
      <c r="I4" s="4">
        <f>SUM(H4:H203)</f>
        <v>195217.76</v>
      </c>
      <c r="J4">
        <v>331.55</v>
      </c>
      <c r="K4" s="4">
        <f>SUM(J4:J203)</f>
        <v>68287.009999999995</v>
      </c>
    </row>
    <row r="5" spans="1:14">
      <c r="A5" t="str">
        <v>CUST012</v>
      </c>
      <c r="B5">
        <f>SUMIF(Sheet1!A:A,A5,Sheet1!E:E)</f>
        <v>8339</v>
      </c>
      <c r="G5">
        <v>0.2</v>
      </c>
      <c r="H5">
        <v>1101.28</v>
      </c>
      <c r="J5">
        <v>440.51</v>
      </c>
    </row>
    <row r="6" spans="1:14">
      <c r="A6" t="str">
        <v>CUST017</v>
      </c>
      <c r="B6">
        <f>SUMIF(Sheet1!A:A,A6,Sheet1!E:E)</f>
        <v>3419.2</v>
      </c>
      <c r="G6">
        <v>0</v>
      </c>
      <c r="H6">
        <v>713.34</v>
      </c>
      <c r="J6">
        <v>285.33999999999997</v>
      </c>
      <c r="N6">
        <v>0</v>
      </c>
    </row>
    <row r="7" spans="1:14">
      <c r="A7" t="str">
        <v>CUST005</v>
      </c>
      <c r="B7">
        <f>SUMIF(Sheet1!A:A,A7,Sheet1!E:E)</f>
        <v>6666.130000000001</v>
      </c>
      <c r="G7">
        <v>0.15</v>
      </c>
      <c r="H7">
        <v>760.93</v>
      </c>
      <c r="J7">
        <v>161.69999999999999</v>
      </c>
    </row>
    <row r="8" spans="1:14">
      <c r="A8" t="str">
        <v>CUST030</v>
      </c>
      <c r="B8">
        <f>SUMIF(Sheet1!A:A,A8,Sheet1!E:E)</f>
        <v>7928.71</v>
      </c>
      <c r="G8">
        <v>0.2</v>
      </c>
      <c r="H8">
        <v>847</v>
      </c>
      <c r="J8">
        <v>271.04000000000002</v>
      </c>
      <c r="L8" s="5"/>
      <c r="M8" s="6">
        <f>K4-(I4*N6)</f>
        <v>68287.009999999995</v>
      </c>
    </row>
    <row r="9" spans="1:14">
      <c r="A9" t="str">
        <v>CUST007</v>
      </c>
      <c r="B9">
        <f>SUMIF(Sheet1!A:A,A9,Sheet1!E:E)</f>
        <v>9941.8799999999992</v>
      </c>
      <c r="G9">
        <v>0.1</v>
      </c>
      <c r="H9">
        <v>965.64</v>
      </c>
      <c r="J9">
        <v>304.18</v>
      </c>
      <c r="L9" s="7">
        <v>0</v>
      </c>
      <c r="M9" s="7">
        <f t="dataTable" ref="M9:M13" dt2D="0" dtr="0" r1="N6"/>
        <v>68287.009999999995</v>
      </c>
    </row>
    <row r="10" spans="1:14">
      <c r="A10" t="str">
        <v>CUST001</v>
      </c>
      <c r="B10">
        <f>SUMIF(Sheet1!A:A,A10,Sheet1!E:E)</f>
        <v>6549.55</v>
      </c>
      <c r="G10">
        <v>0.05</v>
      </c>
      <c r="H10">
        <v>1317.53</v>
      </c>
      <c r="J10">
        <v>312.91000000000003</v>
      </c>
      <c r="L10" s="7">
        <v>0.05</v>
      </c>
      <c r="M10" s="7">
        <v>58526.122000000003</v>
      </c>
    </row>
    <row r="11" spans="1:14">
      <c r="A11" t="str">
        <v>CUST026</v>
      </c>
      <c r="B11">
        <f>SUMIF(Sheet1!A:A,A11,Sheet1!E:E)</f>
        <v>9371.81</v>
      </c>
      <c r="G11">
        <v>0.2</v>
      </c>
      <c r="H11">
        <v>1074.47</v>
      </c>
      <c r="J11">
        <v>300.85000000000002</v>
      </c>
      <c r="L11" s="7">
        <v>0.1</v>
      </c>
      <c r="M11" s="7">
        <v>48765.233999999997</v>
      </c>
    </row>
    <row r="12" spans="1:14">
      <c r="A12" t="str">
        <v>CUST009</v>
      </c>
      <c r="B12">
        <f>SUMIF(Sheet1!A:A,A12,Sheet1!E:E)</f>
        <v>6505.2</v>
      </c>
      <c r="G12">
        <v>0.05</v>
      </c>
      <c r="H12">
        <v>501.54</v>
      </c>
      <c r="J12">
        <v>190.59</v>
      </c>
      <c r="L12" s="7">
        <v>0.15</v>
      </c>
      <c r="M12" s="7">
        <v>39004.345999999998</v>
      </c>
    </row>
    <row r="13" spans="1:14">
      <c r="A13" t="str">
        <v>CUST010</v>
      </c>
      <c r="B13">
        <f>SUMIF(Sheet1!A:A,A13,Sheet1!E:E)</f>
        <v>4259.22</v>
      </c>
      <c r="G13">
        <v>0.05</v>
      </c>
      <c r="H13">
        <v>737.31</v>
      </c>
      <c r="J13">
        <v>350.22</v>
      </c>
      <c r="L13" s="7">
        <v>0.2</v>
      </c>
      <c r="M13" s="7">
        <v>29243.457999999999</v>
      </c>
    </row>
    <row r="14" spans="1:14">
      <c r="A14" t="str">
        <v>CUST014</v>
      </c>
      <c r="B14">
        <f>SUMIF(Sheet1!A:A,A14,Sheet1!E:E)</f>
        <v>6729.8899999999994</v>
      </c>
      <c r="G14">
        <v>0.05</v>
      </c>
      <c r="H14">
        <v>1572.82</v>
      </c>
      <c r="J14">
        <v>672.38</v>
      </c>
    </row>
    <row r="15" spans="1:14">
      <c r="A15" t="str">
        <v>CUST023</v>
      </c>
      <c r="B15">
        <f>SUMIF(Sheet1!A:A,A15,Sheet1!E:E)</f>
        <v>5913.68</v>
      </c>
      <c r="G15">
        <v>0.15</v>
      </c>
      <c r="H15">
        <v>1343.13</v>
      </c>
      <c r="J15">
        <v>456.66</v>
      </c>
    </row>
    <row r="16" spans="1:14">
      <c r="A16" t="str">
        <v>CUST029</v>
      </c>
      <c r="B16">
        <f>SUMIF(Sheet1!A:A,A16,Sheet1!E:E)</f>
        <v>5779.05</v>
      </c>
      <c r="G16">
        <v>0.05</v>
      </c>
      <c r="H16">
        <v>1191.58</v>
      </c>
      <c r="J16">
        <v>452.8</v>
      </c>
    </row>
    <row r="17" spans="1:10">
      <c r="A17" t="str">
        <v>CUST008</v>
      </c>
      <c r="B17">
        <f>SUMIF(Sheet1!A:A,A17,Sheet1!E:E)</f>
        <v>9760.7999999999993</v>
      </c>
      <c r="G17">
        <v>0.05</v>
      </c>
      <c r="H17">
        <v>822.28</v>
      </c>
      <c r="J17">
        <v>273.41000000000003</v>
      </c>
    </row>
    <row r="18" spans="1:10">
      <c r="A18" t="str">
        <v>CUST006</v>
      </c>
      <c r="B18">
        <f>SUMIF(Sheet1!A:A,A18,Sheet1!E:E)</f>
        <v>2699.75</v>
      </c>
      <c r="G18">
        <v>0.15</v>
      </c>
      <c r="H18">
        <v>521.66999999999996</v>
      </c>
      <c r="J18">
        <v>155.19999999999999</v>
      </c>
    </row>
    <row r="19" spans="1:10">
      <c r="A19" t="str">
        <v>CUST022</v>
      </c>
      <c r="B19">
        <f>SUMIF(Sheet1!A:A,A19,Sheet1!E:E)</f>
        <v>4418.2800000000007</v>
      </c>
      <c r="G19">
        <v>0.2</v>
      </c>
      <c r="H19">
        <v>1502.93</v>
      </c>
      <c r="J19">
        <v>300.58999999999997</v>
      </c>
    </row>
    <row r="20" spans="1:10">
      <c r="A20" t="str">
        <v>CUST028</v>
      </c>
      <c r="B20">
        <f>SUMIF(Sheet1!A:A,A20,Sheet1!E:E)</f>
        <v>10293.870000000001</v>
      </c>
      <c r="G20">
        <v>0.15</v>
      </c>
      <c r="H20">
        <v>877.58</v>
      </c>
      <c r="J20">
        <v>298.38</v>
      </c>
    </row>
    <row r="21" spans="1:10">
      <c r="A21" t="str">
        <v>CUST025</v>
      </c>
      <c r="B21">
        <f>SUMIF(Sheet1!A:A,A21,Sheet1!E:E)</f>
        <v>6716.52</v>
      </c>
      <c r="G21">
        <v>0.2</v>
      </c>
      <c r="H21">
        <v>636.70000000000005</v>
      </c>
      <c r="J21">
        <v>203.74</v>
      </c>
    </row>
    <row r="22" spans="1:10">
      <c r="A22" t="str">
        <v>CUST021</v>
      </c>
      <c r="B22">
        <f>SUMIF(Sheet1!A:A,A22,Sheet1!E:E)</f>
        <v>8740.18</v>
      </c>
      <c r="G22">
        <v>0.2</v>
      </c>
      <c r="H22">
        <v>1506.14</v>
      </c>
      <c r="J22">
        <v>481.96</v>
      </c>
    </row>
    <row r="23" spans="1:10">
      <c r="A23" t="str">
        <v>CUST015</v>
      </c>
      <c r="B23">
        <f>SUMIF(Sheet1!A:A,A23,Sheet1!E:E)</f>
        <v>11611.060000000001</v>
      </c>
      <c r="G23">
        <v>0</v>
      </c>
      <c r="H23">
        <v>645.02</v>
      </c>
      <c r="J23">
        <v>161.26</v>
      </c>
    </row>
    <row r="24" spans="1:10">
      <c r="A24" t="str">
        <v>CUST016</v>
      </c>
      <c r="B24">
        <f>SUMIF(Sheet1!A:A,A24,Sheet1!E:E)</f>
        <v>3369.17</v>
      </c>
      <c r="G24">
        <v>0</v>
      </c>
      <c r="H24">
        <v>953.3</v>
      </c>
      <c r="J24">
        <v>476.65</v>
      </c>
    </row>
    <row r="25" spans="1:10">
      <c r="A25" t="str">
        <v>CUST011</v>
      </c>
      <c r="B25">
        <f>SUMIF(Sheet1!A:A,A25,Sheet1!E:E)</f>
        <v>3762.2900000000004</v>
      </c>
      <c r="G25">
        <v>0.15</v>
      </c>
      <c r="H25">
        <v>388.56</v>
      </c>
      <c r="J25">
        <v>82.57</v>
      </c>
    </row>
    <row r="26" spans="1:10">
      <c r="A26" t="str">
        <v>CUST002</v>
      </c>
      <c r="B26">
        <f>SUMIF(Sheet1!A:A,A26,Sheet1!E:E)</f>
        <v>6481.43</v>
      </c>
      <c r="G26">
        <v>0</v>
      </c>
      <c r="H26">
        <v>743.17</v>
      </c>
      <c r="J26">
        <v>297.27</v>
      </c>
    </row>
    <row r="27" spans="1:10">
      <c r="A27" t="str">
        <v>CUST003</v>
      </c>
      <c r="B27">
        <f>SUMIF(Sheet1!A:A,A27,Sheet1!E:E)</f>
        <v>8490.18</v>
      </c>
      <c r="G27">
        <v>0</v>
      </c>
      <c r="H27">
        <v>706.37</v>
      </c>
      <c r="J27">
        <v>176.59</v>
      </c>
    </row>
    <row r="28" spans="1:10">
      <c r="A28" t="str">
        <v>CUST020</v>
      </c>
      <c r="B28">
        <f>SUMIF(Sheet1!A:A,A28,Sheet1!E:E)</f>
        <v>4413.71</v>
      </c>
      <c r="G28">
        <v>0.1</v>
      </c>
      <c r="H28">
        <v>925.31</v>
      </c>
      <c r="J28">
        <v>374.75</v>
      </c>
    </row>
    <row r="29" spans="1:10">
      <c r="A29" t="str">
        <v>CUST024</v>
      </c>
      <c r="B29">
        <f>SUMIF(Sheet1!A:A,A29,Sheet1!E:E)</f>
        <v>7583.1299999999992</v>
      </c>
      <c r="G29">
        <v>0</v>
      </c>
      <c r="H29">
        <v>1173.1199999999999</v>
      </c>
      <c r="J29">
        <v>293.27999999999997</v>
      </c>
    </row>
    <row r="30" spans="1:10">
      <c r="A30" t="str">
        <v>CUST004</v>
      </c>
      <c r="B30">
        <f>SUMIF(Sheet1!A:A,A30,Sheet1!E:E)</f>
        <v>7813.59</v>
      </c>
      <c r="G30">
        <v>0</v>
      </c>
      <c r="H30">
        <v>675.54</v>
      </c>
      <c r="J30">
        <v>236.44</v>
      </c>
    </row>
    <row r="31" spans="1:10">
      <c r="A31" t="str">
        <v>CUST013</v>
      </c>
      <c r="B31">
        <f>SUMIF(Sheet1!A:A,A31,Sheet1!E:E)</f>
        <v>4162.4400000000005</v>
      </c>
      <c r="G31">
        <v>0.05</v>
      </c>
      <c r="H31">
        <v>939.09</v>
      </c>
      <c r="J31">
        <v>356.85</v>
      </c>
    </row>
    <row r="32" spans="1:10">
      <c r="A32" t="str">
        <v>CUST027</v>
      </c>
      <c r="B32">
        <f>SUMIF(Sheet1!A:A,A32,Sheet1!E:E)</f>
        <v>3906.04</v>
      </c>
      <c r="G32">
        <v>0.1</v>
      </c>
      <c r="H32">
        <v>983.34</v>
      </c>
      <c r="J32">
        <v>398.25</v>
      </c>
    </row>
    <row r="33" spans="1:10">
      <c r="A33" t="str">
        <v>CUST018</v>
      </c>
      <c r="B33">
        <f>SUMIF(Sheet1!A:A,A33,Sheet1!E:E)</f>
        <v>4951.8899999999994</v>
      </c>
      <c r="G33">
        <v>0.2</v>
      </c>
      <c r="H33">
        <v>801.21</v>
      </c>
      <c r="J33">
        <v>160.24</v>
      </c>
    </row>
    <row r="34" spans="1:10">
      <c r="G34">
        <v>0.1</v>
      </c>
      <c r="H34">
        <v>1450.71</v>
      </c>
      <c r="J34">
        <v>326.41000000000003</v>
      </c>
    </row>
    <row r="35" spans="1:10">
      <c r="G35">
        <v>0.05</v>
      </c>
      <c r="H35">
        <v>1023.21</v>
      </c>
      <c r="J35">
        <v>388.82</v>
      </c>
    </row>
    <row r="36" spans="1:10">
      <c r="G36">
        <v>0.15</v>
      </c>
      <c r="H36">
        <v>853.72</v>
      </c>
      <c r="J36">
        <v>253.98</v>
      </c>
    </row>
    <row r="37" spans="1:10">
      <c r="G37">
        <v>0.1</v>
      </c>
      <c r="H37">
        <v>967.89</v>
      </c>
      <c r="J37">
        <v>217.78</v>
      </c>
    </row>
    <row r="38" spans="1:10">
      <c r="G38">
        <v>0.05</v>
      </c>
      <c r="H38">
        <v>1200.9000000000001</v>
      </c>
      <c r="J38">
        <v>513.38</v>
      </c>
    </row>
    <row r="39" spans="1:10">
      <c r="G39">
        <v>0.2</v>
      </c>
      <c r="H39">
        <v>472.38</v>
      </c>
      <c r="J39">
        <v>151.16</v>
      </c>
    </row>
    <row r="40" spans="1:10">
      <c r="G40">
        <v>0.05</v>
      </c>
      <c r="H40">
        <v>840.92</v>
      </c>
      <c r="J40">
        <v>359.49</v>
      </c>
    </row>
    <row r="41" spans="1:10">
      <c r="G41">
        <v>0.05</v>
      </c>
      <c r="H41">
        <v>1410.06</v>
      </c>
      <c r="J41">
        <v>468.84</v>
      </c>
    </row>
    <row r="42" spans="1:10">
      <c r="G42">
        <v>0.15</v>
      </c>
      <c r="H42">
        <v>773.09</v>
      </c>
      <c r="J42">
        <v>229.99</v>
      </c>
    </row>
    <row r="43" spans="1:10">
      <c r="G43">
        <v>0.15</v>
      </c>
      <c r="H43">
        <v>580.42999999999995</v>
      </c>
      <c r="J43">
        <v>197.35</v>
      </c>
    </row>
    <row r="44" spans="1:10">
      <c r="G44">
        <v>0.1</v>
      </c>
      <c r="H44">
        <v>1151.21</v>
      </c>
      <c r="J44">
        <v>414.44</v>
      </c>
    </row>
    <row r="45" spans="1:10">
      <c r="G45">
        <v>0.2</v>
      </c>
      <c r="H45">
        <v>1025.98</v>
      </c>
      <c r="J45">
        <v>369.35</v>
      </c>
    </row>
    <row r="46" spans="1:10">
      <c r="G46">
        <v>0.15</v>
      </c>
      <c r="H46">
        <v>556.41999999999996</v>
      </c>
      <c r="J46">
        <v>212.83</v>
      </c>
    </row>
    <row r="47" spans="1:10">
      <c r="G47">
        <v>0.1</v>
      </c>
      <c r="H47">
        <v>840.85</v>
      </c>
      <c r="J47">
        <v>302.70999999999998</v>
      </c>
    </row>
    <row r="48" spans="1:10">
      <c r="G48">
        <v>0.15</v>
      </c>
      <c r="H48">
        <v>1227.25</v>
      </c>
      <c r="J48">
        <v>365.11</v>
      </c>
    </row>
    <row r="49" spans="7:10">
      <c r="G49">
        <v>0</v>
      </c>
      <c r="H49">
        <v>856.7</v>
      </c>
      <c r="J49">
        <v>214.18</v>
      </c>
    </row>
    <row r="50" spans="7:10">
      <c r="G50">
        <v>0.15</v>
      </c>
      <c r="H50">
        <v>1225.42</v>
      </c>
      <c r="J50">
        <v>468.72</v>
      </c>
    </row>
    <row r="51" spans="7:10">
      <c r="G51">
        <v>0</v>
      </c>
      <c r="H51">
        <v>1001.57</v>
      </c>
      <c r="J51">
        <v>450.71</v>
      </c>
    </row>
    <row r="52" spans="7:10">
      <c r="G52">
        <v>0.2</v>
      </c>
      <c r="H52">
        <v>1186.8499999999999</v>
      </c>
      <c r="J52">
        <v>332.32</v>
      </c>
    </row>
    <row r="53" spans="7:10">
      <c r="G53">
        <v>0.1</v>
      </c>
      <c r="H53">
        <v>775.45</v>
      </c>
      <c r="J53">
        <v>174.48</v>
      </c>
    </row>
    <row r="54" spans="7:10">
      <c r="G54">
        <v>0.05</v>
      </c>
      <c r="H54">
        <v>1021.47</v>
      </c>
      <c r="J54">
        <v>242.6</v>
      </c>
    </row>
    <row r="55" spans="7:10">
      <c r="G55">
        <v>0.1</v>
      </c>
      <c r="H55">
        <v>1226.6199999999999</v>
      </c>
      <c r="J55">
        <v>551.98</v>
      </c>
    </row>
    <row r="56" spans="7:10">
      <c r="G56">
        <v>0</v>
      </c>
      <c r="H56">
        <v>1086.93</v>
      </c>
      <c r="J56">
        <v>380.43</v>
      </c>
    </row>
    <row r="57" spans="7:10">
      <c r="G57">
        <v>0.1</v>
      </c>
      <c r="H57">
        <v>942.9</v>
      </c>
      <c r="J57">
        <v>339.44</v>
      </c>
    </row>
    <row r="58" spans="7:10">
      <c r="G58">
        <v>0.15</v>
      </c>
      <c r="H58">
        <v>818.8</v>
      </c>
      <c r="J58">
        <v>173.99</v>
      </c>
    </row>
    <row r="59" spans="7:10">
      <c r="G59">
        <v>0.2</v>
      </c>
      <c r="H59">
        <v>919.04</v>
      </c>
      <c r="J59">
        <v>257.33</v>
      </c>
    </row>
    <row r="60" spans="7:10">
      <c r="G60">
        <v>0</v>
      </c>
      <c r="H60">
        <v>973.26</v>
      </c>
      <c r="J60">
        <v>389.3</v>
      </c>
    </row>
    <row r="61" spans="7:10">
      <c r="G61">
        <v>0.2</v>
      </c>
      <c r="H61">
        <v>741.61</v>
      </c>
      <c r="J61">
        <v>148.32</v>
      </c>
    </row>
    <row r="62" spans="7:10">
      <c r="G62">
        <v>0.1</v>
      </c>
      <c r="H62">
        <v>1248.82</v>
      </c>
      <c r="J62">
        <v>449.58</v>
      </c>
    </row>
    <row r="63" spans="7:10">
      <c r="G63">
        <v>0</v>
      </c>
      <c r="H63">
        <v>1360.36</v>
      </c>
      <c r="J63">
        <v>680.18</v>
      </c>
    </row>
    <row r="64" spans="7:10">
      <c r="G64">
        <v>0.1</v>
      </c>
      <c r="H64">
        <v>1383.3</v>
      </c>
      <c r="J64">
        <v>497.99</v>
      </c>
    </row>
    <row r="65" spans="7:10">
      <c r="G65">
        <v>0</v>
      </c>
      <c r="H65">
        <v>488.99</v>
      </c>
      <c r="J65">
        <v>220.05</v>
      </c>
    </row>
    <row r="66" spans="7:10">
      <c r="G66">
        <v>0.1</v>
      </c>
      <c r="H66">
        <v>933.71</v>
      </c>
      <c r="J66">
        <v>294.12</v>
      </c>
    </row>
    <row r="67" spans="7:10">
      <c r="G67">
        <v>0.2</v>
      </c>
      <c r="H67">
        <v>1005.53</v>
      </c>
      <c r="J67">
        <v>201.11</v>
      </c>
    </row>
    <row r="68" spans="7:10">
      <c r="G68">
        <v>0.05</v>
      </c>
      <c r="H68">
        <v>1100.0999999999999</v>
      </c>
      <c r="J68">
        <v>261.27</v>
      </c>
    </row>
    <row r="69" spans="7:10">
      <c r="G69">
        <v>0.15</v>
      </c>
      <c r="H69">
        <v>1034.7</v>
      </c>
      <c r="J69">
        <v>307.82</v>
      </c>
    </row>
    <row r="70" spans="7:10">
      <c r="G70">
        <v>0.05</v>
      </c>
      <c r="H70">
        <v>876.44</v>
      </c>
      <c r="J70">
        <v>333.05</v>
      </c>
    </row>
    <row r="71" spans="7:10">
      <c r="G71">
        <v>0.05</v>
      </c>
      <c r="H71">
        <v>1371.34</v>
      </c>
      <c r="J71">
        <v>455.97</v>
      </c>
    </row>
    <row r="72" spans="7:10">
      <c r="G72">
        <v>0.05</v>
      </c>
      <c r="H72">
        <v>1020.26</v>
      </c>
      <c r="J72">
        <v>242.31</v>
      </c>
    </row>
    <row r="73" spans="7:10">
      <c r="G73">
        <v>0.05</v>
      </c>
      <c r="H73">
        <v>804.81</v>
      </c>
      <c r="J73">
        <v>344.06</v>
      </c>
    </row>
    <row r="74" spans="7:10">
      <c r="G74">
        <v>0.05</v>
      </c>
      <c r="H74">
        <v>608.66</v>
      </c>
      <c r="J74">
        <v>144.56</v>
      </c>
    </row>
    <row r="75" spans="7:10">
      <c r="G75">
        <v>0</v>
      </c>
      <c r="H75">
        <v>981.2</v>
      </c>
      <c r="J75">
        <v>441.54</v>
      </c>
    </row>
    <row r="76" spans="7:10">
      <c r="G76">
        <v>0.15</v>
      </c>
      <c r="H76">
        <v>539.77</v>
      </c>
      <c r="J76">
        <v>114.7</v>
      </c>
    </row>
    <row r="77" spans="7:10">
      <c r="G77">
        <v>0.2</v>
      </c>
      <c r="H77">
        <v>804.45</v>
      </c>
      <c r="J77">
        <v>257.42</v>
      </c>
    </row>
    <row r="78" spans="7:10">
      <c r="G78">
        <v>0.2</v>
      </c>
      <c r="H78">
        <v>1526.6</v>
      </c>
      <c r="J78">
        <v>305.32</v>
      </c>
    </row>
    <row r="79" spans="7:10">
      <c r="G79">
        <v>0.15</v>
      </c>
      <c r="H79">
        <v>1215.26</v>
      </c>
      <c r="J79">
        <v>258.24</v>
      </c>
    </row>
    <row r="80" spans="7:10">
      <c r="G80">
        <v>0</v>
      </c>
      <c r="H80">
        <v>1261.3399999999999</v>
      </c>
      <c r="J80">
        <v>441.47</v>
      </c>
    </row>
    <row r="81" spans="7:10">
      <c r="G81">
        <v>0.05</v>
      </c>
      <c r="H81">
        <v>518.07000000000005</v>
      </c>
      <c r="J81">
        <v>172.26</v>
      </c>
    </row>
    <row r="82" spans="7:10">
      <c r="G82">
        <v>0</v>
      </c>
      <c r="H82">
        <v>1111.3399999999999</v>
      </c>
      <c r="J82">
        <v>500.1</v>
      </c>
    </row>
    <row r="83" spans="7:10">
      <c r="G83">
        <v>0.1</v>
      </c>
      <c r="H83">
        <v>1291.47</v>
      </c>
      <c r="J83">
        <v>581.16</v>
      </c>
    </row>
    <row r="84" spans="7:10">
      <c r="G84">
        <v>0</v>
      </c>
      <c r="H84">
        <v>679.71</v>
      </c>
      <c r="J84">
        <v>271.88</v>
      </c>
    </row>
    <row r="85" spans="7:10">
      <c r="G85">
        <v>0</v>
      </c>
      <c r="H85">
        <v>1143.69</v>
      </c>
      <c r="J85">
        <v>400.29</v>
      </c>
    </row>
    <row r="86" spans="7:10">
      <c r="G86">
        <v>0.1</v>
      </c>
      <c r="H86">
        <v>790.08</v>
      </c>
      <c r="J86">
        <v>177.77</v>
      </c>
    </row>
    <row r="87" spans="7:10">
      <c r="G87">
        <v>0.05</v>
      </c>
      <c r="H87">
        <v>1070.68</v>
      </c>
      <c r="J87">
        <v>406.86</v>
      </c>
    </row>
    <row r="88" spans="7:10">
      <c r="G88">
        <v>0.1</v>
      </c>
      <c r="H88">
        <v>1168.8900000000001</v>
      </c>
      <c r="J88">
        <v>526</v>
      </c>
    </row>
    <row r="89" spans="7:10">
      <c r="G89">
        <v>0</v>
      </c>
      <c r="H89">
        <v>1335.87</v>
      </c>
      <c r="J89">
        <v>333.97</v>
      </c>
    </row>
    <row r="90" spans="7:10">
      <c r="G90">
        <v>0</v>
      </c>
      <c r="H90">
        <v>873.7</v>
      </c>
      <c r="J90">
        <v>305.8</v>
      </c>
    </row>
    <row r="91" spans="7:10">
      <c r="G91">
        <v>0</v>
      </c>
      <c r="H91">
        <v>1443.98</v>
      </c>
      <c r="J91">
        <v>649.79</v>
      </c>
    </row>
    <row r="92" spans="7:10">
      <c r="G92">
        <v>0.15</v>
      </c>
      <c r="H92">
        <v>1154.33</v>
      </c>
      <c r="J92">
        <v>441.53</v>
      </c>
    </row>
    <row r="93" spans="7:10">
      <c r="G93">
        <v>0.05</v>
      </c>
      <c r="H93">
        <v>1264.49</v>
      </c>
      <c r="J93">
        <v>480.51</v>
      </c>
    </row>
    <row r="94" spans="7:10">
      <c r="G94">
        <v>0.1</v>
      </c>
      <c r="H94">
        <v>1101.55</v>
      </c>
      <c r="J94">
        <v>346.99</v>
      </c>
    </row>
    <row r="95" spans="7:10">
      <c r="G95">
        <v>0.1</v>
      </c>
      <c r="H95">
        <v>727.73</v>
      </c>
      <c r="J95">
        <v>229.23</v>
      </c>
    </row>
    <row r="96" spans="7:10">
      <c r="G96">
        <v>0.15</v>
      </c>
      <c r="H96">
        <v>875.41</v>
      </c>
      <c r="J96">
        <v>334.84</v>
      </c>
    </row>
    <row r="97" spans="7:10">
      <c r="G97">
        <v>0.2</v>
      </c>
      <c r="H97">
        <v>1158.94</v>
      </c>
      <c r="J97">
        <v>231.79</v>
      </c>
    </row>
    <row r="98" spans="7:10">
      <c r="G98">
        <v>0.15</v>
      </c>
      <c r="H98">
        <v>966.3</v>
      </c>
      <c r="J98">
        <v>328.54</v>
      </c>
    </row>
    <row r="99" spans="7:10">
      <c r="G99">
        <v>0</v>
      </c>
      <c r="H99">
        <v>917.48</v>
      </c>
      <c r="J99">
        <v>366.99</v>
      </c>
    </row>
    <row r="100" spans="7:10">
      <c r="G100">
        <v>0.15</v>
      </c>
      <c r="H100">
        <v>1172.97</v>
      </c>
      <c r="J100">
        <v>348.96</v>
      </c>
    </row>
    <row r="101" spans="7:10">
      <c r="G101">
        <v>0.1</v>
      </c>
      <c r="H101">
        <v>1205.82</v>
      </c>
      <c r="J101">
        <v>542.62</v>
      </c>
    </row>
    <row r="102" spans="7:10">
      <c r="G102">
        <v>0.2</v>
      </c>
      <c r="H102">
        <v>826.93</v>
      </c>
      <c r="J102">
        <v>297.69</v>
      </c>
    </row>
    <row r="103" spans="7:10">
      <c r="G103">
        <v>0</v>
      </c>
      <c r="H103">
        <v>902.19</v>
      </c>
      <c r="J103">
        <v>451.1</v>
      </c>
    </row>
    <row r="104" spans="7:10">
      <c r="G104">
        <v>0.1</v>
      </c>
      <c r="H104">
        <v>585.97</v>
      </c>
      <c r="J104">
        <v>210.95</v>
      </c>
    </row>
    <row r="105" spans="7:10">
      <c r="G105">
        <v>0.1</v>
      </c>
      <c r="H105">
        <v>990.19</v>
      </c>
      <c r="J105">
        <v>445.59</v>
      </c>
    </row>
    <row r="106" spans="7:10">
      <c r="G106">
        <v>0.2</v>
      </c>
      <c r="H106">
        <v>1014.09</v>
      </c>
      <c r="J106">
        <v>202.82</v>
      </c>
    </row>
    <row r="107" spans="7:10">
      <c r="G107">
        <v>0</v>
      </c>
      <c r="H107">
        <v>925.29</v>
      </c>
      <c r="J107">
        <v>231.32</v>
      </c>
    </row>
    <row r="108" spans="7:10">
      <c r="G108">
        <v>0</v>
      </c>
      <c r="H108">
        <v>1286.54</v>
      </c>
      <c r="J108">
        <v>450.29</v>
      </c>
    </row>
    <row r="109" spans="7:10">
      <c r="G109">
        <v>0.2</v>
      </c>
      <c r="H109">
        <v>961.62</v>
      </c>
      <c r="J109">
        <v>307.72000000000003</v>
      </c>
    </row>
    <row r="110" spans="7:10">
      <c r="G110">
        <v>0.15</v>
      </c>
      <c r="H110">
        <v>1081.1400000000001</v>
      </c>
      <c r="J110">
        <v>367.59</v>
      </c>
    </row>
    <row r="111" spans="7:10">
      <c r="G111">
        <v>0.2</v>
      </c>
      <c r="H111">
        <v>1923.66</v>
      </c>
      <c r="J111">
        <v>769.46</v>
      </c>
    </row>
    <row r="112" spans="7:10">
      <c r="G112">
        <v>0.1</v>
      </c>
      <c r="H112">
        <v>728.71</v>
      </c>
      <c r="J112">
        <v>327.92</v>
      </c>
    </row>
    <row r="113" spans="7:10">
      <c r="G113">
        <v>0.15</v>
      </c>
      <c r="H113">
        <v>1301.8900000000001</v>
      </c>
      <c r="J113">
        <v>553.29999999999995</v>
      </c>
    </row>
    <row r="114" spans="7:10">
      <c r="G114">
        <v>0.1</v>
      </c>
      <c r="H114">
        <v>980.18</v>
      </c>
      <c r="J114">
        <v>352.86</v>
      </c>
    </row>
    <row r="115" spans="7:10">
      <c r="G115">
        <v>0.1</v>
      </c>
      <c r="H115">
        <v>697.57</v>
      </c>
      <c r="J115">
        <v>313.91000000000003</v>
      </c>
    </row>
    <row r="116" spans="7:10">
      <c r="G116">
        <v>0.15</v>
      </c>
      <c r="H116">
        <v>1193.6099999999999</v>
      </c>
      <c r="J116">
        <v>355.1</v>
      </c>
    </row>
    <row r="117" spans="7:10">
      <c r="G117">
        <v>0</v>
      </c>
      <c r="H117">
        <v>771.02</v>
      </c>
      <c r="J117">
        <v>192.76</v>
      </c>
    </row>
    <row r="118" spans="7:10">
      <c r="G118">
        <v>0.2</v>
      </c>
      <c r="H118">
        <v>661.09</v>
      </c>
      <c r="J118">
        <v>264.44</v>
      </c>
    </row>
    <row r="119" spans="7:10">
      <c r="G119">
        <v>0</v>
      </c>
      <c r="H119">
        <v>688.83</v>
      </c>
      <c r="J119">
        <v>172.21</v>
      </c>
    </row>
    <row r="120" spans="7:10">
      <c r="G120">
        <v>0.05</v>
      </c>
      <c r="H120">
        <v>1249.0999999999999</v>
      </c>
      <c r="J120">
        <v>474.66</v>
      </c>
    </row>
    <row r="121" spans="7:10">
      <c r="G121">
        <v>0.05</v>
      </c>
      <c r="H121">
        <v>1014.22</v>
      </c>
      <c r="J121">
        <v>433.58</v>
      </c>
    </row>
    <row r="122" spans="7:10">
      <c r="G122">
        <v>0.15</v>
      </c>
      <c r="H122">
        <v>1010.58</v>
      </c>
      <c r="J122">
        <v>343.6</v>
      </c>
    </row>
    <row r="123" spans="7:10">
      <c r="G123">
        <v>0.05</v>
      </c>
      <c r="H123">
        <v>957.29</v>
      </c>
      <c r="J123">
        <v>318.3</v>
      </c>
    </row>
    <row r="124" spans="7:10">
      <c r="G124">
        <v>0.05</v>
      </c>
      <c r="H124">
        <v>1077.92</v>
      </c>
      <c r="J124">
        <v>358.41</v>
      </c>
    </row>
    <row r="125" spans="7:10">
      <c r="G125">
        <v>0</v>
      </c>
      <c r="H125">
        <v>1163.01</v>
      </c>
      <c r="J125">
        <v>581.5</v>
      </c>
    </row>
    <row r="126" spans="7:10">
      <c r="G126">
        <v>0.1</v>
      </c>
      <c r="H126">
        <v>1014.56</v>
      </c>
      <c r="J126">
        <v>410.9</v>
      </c>
    </row>
    <row r="127" spans="7:10">
      <c r="G127">
        <v>0</v>
      </c>
      <c r="H127">
        <v>718.04</v>
      </c>
      <c r="J127">
        <v>179.51</v>
      </c>
    </row>
    <row r="128" spans="7:10">
      <c r="G128">
        <v>0.2</v>
      </c>
      <c r="H128">
        <v>1277.8499999999999</v>
      </c>
      <c r="J128">
        <v>511.14</v>
      </c>
    </row>
    <row r="129" spans="7:10">
      <c r="G129">
        <v>0.15</v>
      </c>
      <c r="H129">
        <v>706.73</v>
      </c>
      <c r="J129">
        <v>150.18</v>
      </c>
    </row>
    <row r="130" spans="7:10">
      <c r="G130">
        <v>0</v>
      </c>
      <c r="H130">
        <v>1410.59</v>
      </c>
      <c r="J130">
        <v>352.65</v>
      </c>
    </row>
    <row r="131" spans="7:10">
      <c r="G131">
        <v>0</v>
      </c>
      <c r="H131">
        <v>1350.33</v>
      </c>
      <c r="J131">
        <v>472.62</v>
      </c>
    </row>
    <row r="132" spans="7:10">
      <c r="G132">
        <v>0.15</v>
      </c>
      <c r="H132">
        <v>919.18</v>
      </c>
      <c r="J132">
        <v>195.33</v>
      </c>
    </row>
    <row r="133" spans="7:10">
      <c r="G133">
        <v>0</v>
      </c>
      <c r="H133">
        <v>258.51</v>
      </c>
      <c r="J133">
        <v>64.63</v>
      </c>
    </row>
    <row r="134" spans="7:10">
      <c r="G134">
        <v>0.05</v>
      </c>
      <c r="H134">
        <v>1213.48</v>
      </c>
      <c r="J134">
        <v>461.12</v>
      </c>
    </row>
    <row r="135" spans="7:10">
      <c r="G135">
        <v>0.05</v>
      </c>
      <c r="H135">
        <v>1150.28</v>
      </c>
      <c r="J135">
        <v>437.11</v>
      </c>
    </row>
    <row r="136" spans="7:10">
      <c r="G136">
        <v>0.1</v>
      </c>
      <c r="H136">
        <v>853.86</v>
      </c>
      <c r="J136">
        <v>268.97000000000003</v>
      </c>
    </row>
    <row r="137" spans="7:10">
      <c r="G137">
        <v>0</v>
      </c>
      <c r="H137">
        <v>1061.04</v>
      </c>
      <c r="J137">
        <v>265.26</v>
      </c>
    </row>
    <row r="138" spans="7:10">
      <c r="G138">
        <v>0.2</v>
      </c>
      <c r="H138">
        <v>894.55</v>
      </c>
      <c r="J138">
        <v>178.91</v>
      </c>
    </row>
    <row r="139" spans="7:10">
      <c r="G139">
        <v>0.05</v>
      </c>
      <c r="H139">
        <v>833.91</v>
      </c>
      <c r="J139">
        <v>356.5</v>
      </c>
    </row>
    <row r="140" spans="7:10">
      <c r="G140">
        <v>0.2</v>
      </c>
      <c r="H140">
        <v>820.19</v>
      </c>
      <c r="J140">
        <v>229.65</v>
      </c>
    </row>
    <row r="141" spans="7:10">
      <c r="G141">
        <v>0.05</v>
      </c>
      <c r="H141">
        <v>511.74</v>
      </c>
      <c r="J141">
        <v>121.54</v>
      </c>
    </row>
    <row r="142" spans="7:10">
      <c r="G142">
        <v>0.05</v>
      </c>
      <c r="H142">
        <v>806.03</v>
      </c>
      <c r="J142">
        <v>268</v>
      </c>
    </row>
    <row r="143" spans="7:10">
      <c r="G143">
        <v>0.15</v>
      </c>
      <c r="H143">
        <v>1432.47</v>
      </c>
      <c r="J143">
        <v>426.16</v>
      </c>
    </row>
    <row r="144" spans="7:10">
      <c r="G144">
        <v>0.15</v>
      </c>
      <c r="H144">
        <v>1488.58</v>
      </c>
      <c r="J144">
        <v>316.32</v>
      </c>
    </row>
    <row r="145" spans="7:10">
      <c r="G145">
        <v>0</v>
      </c>
      <c r="H145">
        <v>1231.26</v>
      </c>
      <c r="J145">
        <v>492.5</v>
      </c>
    </row>
    <row r="146" spans="7:10">
      <c r="G146">
        <v>0.2</v>
      </c>
      <c r="H146">
        <v>1161.67</v>
      </c>
      <c r="J146">
        <v>232.33</v>
      </c>
    </row>
    <row r="147" spans="7:10">
      <c r="G147">
        <v>0.05</v>
      </c>
      <c r="H147">
        <v>388.23</v>
      </c>
      <c r="J147">
        <v>165.97</v>
      </c>
    </row>
    <row r="148" spans="7:10">
      <c r="G148">
        <v>0.15</v>
      </c>
      <c r="H148">
        <v>1589.42</v>
      </c>
      <c r="J148">
        <v>675.5</v>
      </c>
    </row>
    <row r="149" spans="7:10">
      <c r="G149">
        <v>0.2</v>
      </c>
      <c r="H149">
        <v>336.66</v>
      </c>
      <c r="J149">
        <v>134.66</v>
      </c>
    </row>
    <row r="150" spans="7:10">
      <c r="G150">
        <v>0.1</v>
      </c>
      <c r="H150">
        <v>1353.79</v>
      </c>
      <c r="J150">
        <v>487.36</v>
      </c>
    </row>
    <row r="151" spans="7:10">
      <c r="G151">
        <v>0.05</v>
      </c>
      <c r="H151">
        <v>662.61</v>
      </c>
      <c r="J151">
        <v>314.74</v>
      </c>
    </row>
    <row r="152" spans="7:10">
      <c r="G152">
        <v>0.2</v>
      </c>
      <c r="H152">
        <v>309.42</v>
      </c>
      <c r="J152">
        <v>111.39</v>
      </c>
    </row>
    <row r="153" spans="7:10">
      <c r="G153">
        <v>0.1</v>
      </c>
      <c r="H153">
        <v>884.63</v>
      </c>
      <c r="J153">
        <v>318.47000000000003</v>
      </c>
    </row>
    <row r="154" spans="7:10">
      <c r="G154">
        <v>0.1</v>
      </c>
      <c r="H154">
        <v>745.05</v>
      </c>
      <c r="J154">
        <v>301.75</v>
      </c>
    </row>
    <row r="155" spans="7:10">
      <c r="G155">
        <v>0.05</v>
      </c>
      <c r="H155">
        <v>870.23</v>
      </c>
      <c r="J155">
        <v>413.36</v>
      </c>
    </row>
    <row r="156" spans="7:10">
      <c r="G156">
        <v>0.05</v>
      </c>
      <c r="H156">
        <v>862.19</v>
      </c>
      <c r="J156">
        <v>286.68</v>
      </c>
    </row>
    <row r="157" spans="7:10">
      <c r="G157">
        <v>0.05</v>
      </c>
      <c r="H157">
        <v>1171.18</v>
      </c>
      <c r="J157">
        <v>556.30999999999995</v>
      </c>
    </row>
    <row r="158" spans="7:10">
      <c r="G158">
        <v>0.1</v>
      </c>
      <c r="H158">
        <v>1054.56</v>
      </c>
      <c r="J158">
        <v>332.19</v>
      </c>
    </row>
    <row r="159" spans="7:10">
      <c r="G159">
        <v>0.2</v>
      </c>
      <c r="H159">
        <v>1681.21</v>
      </c>
      <c r="J159">
        <v>336.24</v>
      </c>
    </row>
    <row r="160" spans="7:10">
      <c r="G160">
        <v>0.05</v>
      </c>
      <c r="H160">
        <v>379.77</v>
      </c>
      <c r="J160">
        <v>180.39</v>
      </c>
    </row>
    <row r="161" spans="7:10">
      <c r="G161">
        <v>0.1</v>
      </c>
      <c r="H161">
        <v>1076.33</v>
      </c>
      <c r="J161">
        <v>484.35</v>
      </c>
    </row>
    <row r="162" spans="7:10">
      <c r="G162">
        <v>0</v>
      </c>
      <c r="H162">
        <v>1250.71</v>
      </c>
      <c r="J162">
        <v>562.82000000000005</v>
      </c>
    </row>
    <row r="163" spans="7:10">
      <c r="G163">
        <v>0.2</v>
      </c>
      <c r="H163">
        <v>1118.3399999999999</v>
      </c>
      <c r="J163">
        <v>447.34</v>
      </c>
    </row>
    <row r="164" spans="7:10">
      <c r="G164">
        <v>0.2</v>
      </c>
      <c r="H164">
        <v>1622.62</v>
      </c>
      <c r="J164">
        <v>649.04999999999995</v>
      </c>
    </row>
    <row r="165" spans="7:10">
      <c r="G165">
        <v>0.2</v>
      </c>
      <c r="H165">
        <v>640.64</v>
      </c>
      <c r="J165">
        <v>205</v>
      </c>
    </row>
    <row r="166" spans="7:10">
      <c r="G166">
        <v>0.1</v>
      </c>
      <c r="H166">
        <v>585.16</v>
      </c>
      <c r="J166">
        <v>263.32</v>
      </c>
    </row>
    <row r="167" spans="7:10">
      <c r="G167">
        <v>0.2</v>
      </c>
      <c r="H167">
        <v>1109.98</v>
      </c>
      <c r="J167">
        <v>443.99</v>
      </c>
    </row>
    <row r="168" spans="7:10">
      <c r="G168">
        <v>0.1</v>
      </c>
      <c r="H168">
        <v>1098.08</v>
      </c>
      <c r="J168">
        <v>395.31</v>
      </c>
    </row>
    <row r="169" spans="7:10">
      <c r="G169">
        <v>0.1</v>
      </c>
      <c r="H169">
        <v>827.25</v>
      </c>
      <c r="J169">
        <v>335.04</v>
      </c>
    </row>
    <row r="170" spans="7:10">
      <c r="G170">
        <v>0.1</v>
      </c>
      <c r="H170">
        <v>741.88</v>
      </c>
      <c r="J170">
        <v>333.85</v>
      </c>
    </row>
    <row r="171" spans="7:10">
      <c r="G171">
        <v>0.1</v>
      </c>
      <c r="H171">
        <v>1311.26</v>
      </c>
      <c r="J171">
        <v>531.05999999999995</v>
      </c>
    </row>
    <row r="172" spans="7:10">
      <c r="G172">
        <v>0.1</v>
      </c>
      <c r="H172">
        <v>573.32000000000005</v>
      </c>
      <c r="J172">
        <v>232.19</v>
      </c>
    </row>
    <row r="173" spans="7:10">
      <c r="G173">
        <v>0.2</v>
      </c>
      <c r="H173">
        <v>1115.22</v>
      </c>
      <c r="J173">
        <v>223.04</v>
      </c>
    </row>
    <row r="174" spans="7:10">
      <c r="G174">
        <v>0</v>
      </c>
      <c r="H174">
        <v>845.84</v>
      </c>
      <c r="J174">
        <v>422.92</v>
      </c>
    </row>
    <row r="175" spans="7:10">
      <c r="G175">
        <v>0</v>
      </c>
      <c r="H175">
        <v>1029.8</v>
      </c>
      <c r="J175">
        <v>257.45</v>
      </c>
    </row>
    <row r="176" spans="7:10">
      <c r="G176">
        <v>0.2</v>
      </c>
      <c r="H176">
        <v>1189.83</v>
      </c>
      <c r="J176">
        <v>380.75</v>
      </c>
    </row>
    <row r="177" spans="7:10">
      <c r="G177">
        <v>0.2</v>
      </c>
      <c r="H177">
        <v>704.28</v>
      </c>
      <c r="J177">
        <v>225.37</v>
      </c>
    </row>
    <row r="178" spans="7:10">
      <c r="G178">
        <v>0.2</v>
      </c>
      <c r="H178">
        <v>1618.22</v>
      </c>
      <c r="J178">
        <v>582.55999999999995</v>
      </c>
    </row>
    <row r="179" spans="7:10">
      <c r="G179">
        <v>0.15</v>
      </c>
      <c r="H179">
        <v>1014.43</v>
      </c>
      <c r="J179">
        <v>344.91</v>
      </c>
    </row>
    <row r="180" spans="7:10">
      <c r="G180">
        <v>0.2</v>
      </c>
      <c r="H180">
        <v>826.97</v>
      </c>
      <c r="J180">
        <v>330.79</v>
      </c>
    </row>
    <row r="181" spans="7:10">
      <c r="G181">
        <v>0.1</v>
      </c>
      <c r="H181">
        <v>1022.23</v>
      </c>
      <c r="J181">
        <v>460</v>
      </c>
    </row>
    <row r="182" spans="7:10">
      <c r="G182">
        <v>0</v>
      </c>
      <c r="H182">
        <v>1099.69</v>
      </c>
      <c r="J182">
        <v>439.88</v>
      </c>
    </row>
    <row r="183" spans="7:10">
      <c r="G183">
        <v>0.1</v>
      </c>
      <c r="H183">
        <v>710.52</v>
      </c>
      <c r="J183">
        <v>255.79</v>
      </c>
    </row>
    <row r="184" spans="7:10">
      <c r="G184">
        <v>0.2</v>
      </c>
      <c r="H184">
        <v>499.18</v>
      </c>
      <c r="J184">
        <v>159.74</v>
      </c>
    </row>
    <row r="185" spans="7:10">
      <c r="G185">
        <v>0.05</v>
      </c>
      <c r="H185">
        <v>1064.19</v>
      </c>
      <c r="J185">
        <v>404.39</v>
      </c>
    </row>
    <row r="186" spans="7:10">
      <c r="G186">
        <v>0.05</v>
      </c>
      <c r="H186">
        <v>438.76</v>
      </c>
      <c r="J186">
        <v>187.57</v>
      </c>
    </row>
    <row r="187" spans="7:10">
      <c r="G187">
        <v>0.05</v>
      </c>
      <c r="H187">
        <v>864.98</v>
      </c>
      <c r="J187">
        <v>410.87</v>
      </c>
    </row>
    <row r="188" spans="7:10">
      <c r="G188">
        <v>0.2</v>
      </c>
      <c r="H188">
        <v>984.93</v>
      </c>
      <c r="J188">
        <v>275.77999999999997</v>
      </c>
    </row>
    <row r="189" spans="7:10">
      <c r="G189">
        <v>0</v>
      </c>
      <c r="H189">
        <v>1493.49</v>
      </c>
      <c r="J189">
        <v>746.74</v>
      </c>
    </row>
    <row r="190" spans="7:10">
      <c r="G190">
        <v>0.1</v>
      </c>
      <c r="H190">
        <v>689.43</v>
      </c>
      <c r="J190">
        <v>310.24</v>
      </c>
    </row>
    <row r="191" spans="7:10">
      <c r="G191">
        <v>0</v>
      </c>
      <c r="H191">
        <v>682.24</v>
      </c>
      <c r="J191">
        <v>341.12</v>
      </c>
    </row>
    <row r="192" spans="7:10">
      <c r="G192">
        <v>0.2</v>
      </c>
      <c r="H192">
        <v>458.54</v>
      </c>
      <c r="J192">
        <v>91.71</v>
      </c>
    </row>
    <row r="193" spans="7:10">
      <c r="G193">
        <v>0.2</v>
      </c>
      <c r="H193">
        <v>1184.25</v>
      </c>
      <c r="J193">
        <v>331.59</v>
      </c>
    </row>
    <row r="194" spans="7:10">
      <c r="G194">
        <v>0</v>
      </c>
      <c r="H194">
        <v>762.14</v>
      </c>
      <c r="J194">
        <v>381.07</v>
      </c>
    </row>
    <row r="195" spans="7:10">
      <c r="G195">
        <v>0.15</v>
      </c>
      <c r="H195">
        <v>750.71</v>
      </c>
      <c r="J195">
        <v>255.24</v>
      </c>
    </row>
    <row r="196" spans="7:10">
      <c r="G196">
        <v>0.05</v>
      </c>
      <c r="H196">
        <v>1456.94</v>
      </c>
      <c r="J196">
        <v>692.05</v>
      </c>
    </row>
    <row r="197" spans="7:10">
      <c r="G197">
        <v>0.1</v>
      </c>
      <c r="H197">
        <v>1093.3800000000001</v>
      </c>
      <c r="J197">
        <v>344.41</v>
      </c>
    </row>
    <row r="198" spans="7:10">
      <c r="G198">
        <v>0.15</v>
      </c>
      <c r="H198">
        <v>934.27</v>
      </c>
      <c r="J198">
        <v>397.06</v>
      </c>
    </row>
    <row r="199" spans="7:10">
      <c r="G199">
        <v>0.2</v>
      </c>
      <c r="H199">
        <v>1465.35</v>
      </c>
      <c r="J199">
        <v>586.14</v>
      </c>
    </row>
    <row r="200" spans="7:10">
      <c r="G200">
        <v>0</v>
      </c>
      <c r="H200">
        <v>740.8</v>
      </c>
      <c r="J200">
        <v>333.36</v>
      </c>
    </row>
    <row r="201" spans="7:10">
      <c r="G201">
        <v>0</v>
      </c>
      <c r="H201">
        <v>545.44000000000005</v>
      </c>
      <c r="J201">
        <v>245.45</v>
      </c>
    </row>
    <row r="202" spans="7:10">
      <c r="G202">
        <v>0.05</v>
      </c>
      <c r="H202">
        <v>997.61</v>
      </c>
      <c r="J202">
        <v>379.09</v>
      </c>
    </row>
    <row r="203" spans="7:10">
      <c r="G203">
        <v>0.05</v>
      </c>
      <c r="H203">
        <v>928.32</v>
      </c>
      <c r="J203">
        <v>440.95</v>
      </c>
    </row>
  </sheetData>
  <sortState xmlns:xlrd2="http://schemas.microsoft.com/office/spreadsheetml/2017/richdata2" ref="A4:B203">
    <sortCondition ref="A3:A203"/>
  </sortState>
  <mergeCells count="2">
    <mergeCell ref="A1:E2"/>
    <mergeCell ref="G1:L2"/>
  </mergeCells>
  <conditionalFormatting sqref="B4:B203">
    <cfRule type="top10" dxfId="0" priority="1" rank="1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2"/>
  <sheetViews>
    <sheetView topLeftCell="D1" zoomScale="93" workbookViewId="0">
      <selection activeCell="B61" sqref="B61"/>
    </sheetView>
  </sheetViews>
  <sheetFormatPr defaultColWidth="8.88671875" defaultRowHeight="14.4"/>
  <cols>
    <col min="1" max="1" width="12.5546875" bestFit="1" customWidth="1"/>
    <col min="2" max="2" width="11.6640625" bestFit="1" customWidth="1"/>
    <col min="4" max="4" width="8.88671875" customWidth="1"/>
    <col min="13" max="13" width="11.5546875" customWidth="1"/>
    <col min="14" max="14" width="17.109375" customWidth="1"/>
    <col min="15" max="15" width="9.77734375" customWidth="1"/>
  </cols>
  <sheetData>
    <row r="1" spans="1:16">
      <c r="A1" s="34" t="s">
        <v>80</v>
      </c>
      <c r="B1" s="34"/>
      <c r="C1" s="34"/>
      <c r="D1" s="34"/>
      <c r="E1" s="34"/>
      <c r="L1" s="38" t="s">
        <v>123</v>
      </c>
      <c r="M1" s="38"/>
      <c r="N1" s="38"/>
      <c r="O1" s="38"/>
      <c r="P1" s="38"/>
    </row>
    <row r="2" spans="1:16">
      <c r="A2" s="34"/>
      <c r="B2" s="34"/>
      <c r="C2" s="34"/>
      <c r="D2" s="34"/>
      <c r="E2" s="34"/>
      <c r="M2" s="3"/>
      <c r="N2" s="18" t="s">
        <v>136</v>
      </c>
    </row>
    <row r="3" spans="1:16">
      <c r="M3" s="8"/>
      <c r="N3" s="19">
        <f ca="1">NOW()</f>
        <v>46318.350989120372</v>
      </c>
    </row>
    <row r="4" spans="1:16">
      <c r="A4" t="s">
        <v>81</v>
      </c>
      <c r="M4" s="8"/>
      <c r="N4" s="19"/>
    </row>
    <row r="5" spans="1:16" ht="15" thickBot="1">
      <c r="M5" s="8"/>
      <c r="N5" s="19"/>
    </row>
    <row r="6" spans="1:16">
      <c r="A6" s="11" t="s">
        <v>82</v>
      </c>
      <c r="B6" s="11"/>
      <c r="M6" s="8"/>
      <c r="N6" s="19"/>
    </row>
    <row r="7" spans="1:16">
      <c r="A7" t="s">
        <v>83</v>
      </c>
      <c r="B7">
        <v>0.77340306414342619</v>
      </c>
      <c r="M7" s="8"/>
      <c r="N7" s="19"/>
    </row>
    <row r="8" spans="1:16">
      <c r="A8" t="s">
        <v>84</v>
      </c>
      <c r="B8">
        <v>0.59815229962644056</v>
      </c>
      <c r="M8" s="8"/>
      <c r="N8" s="19"/>
    </row>
    <row r="9" spans="1:16">
      <c r="A9" t="s">
        <v>85</v>
      </c>
      <c r="B9">
        <v>0.59612276578617007</v>
      </c>
      <c r="M9" s="8"/>
      <c r="N9" s="19"/>
    </row>
    <row r="10" spans="1:16">
      <c r="A10" t="s">
        <v>86</v>
      </c>
      <c r="B10">
        <v>86.281230529665166</v>
      </c>
      <c r="M10" s="8"/>
      <c r="N10" s="19"/>
    </row>
    <row r="11" spans="1:16" ht="15" thickBot="1">
      <c r="A11" s="9" t="s">
        <v>87</v>
      </c>
      <c r="B11" s="9">
        <v>200</v>
      </c>
      <c r="M11" s="8"/>
      <c r="N11" s="19"/>
    </row>
    <row r="12" spans="1:16">
      <c r="M12" s="8"/>
      <c r="N12" s="19"/>
    </row>
    <row r="13" spans="1:16" ht="15" thickBot="1">
      <c r="A13" t="s">
        <v>88</v>
      </c>
      <c r="M13" s="8"/>
      <c r="N13" s="19"/>
    </row>
    <row r="14" spans="1:16">
      <c r="A14" s="10"/>
      <c r="B14" s="10" t="s">
        <v>93</v>
      </c>
      <c r="C14" s="10" t="s">
        <v>94</v>
      </c>
      <c r="D14" s="10" t="s">
        <v>95</v>
      </c>
      <c r="E14" s="10" t="s">
        <v>96</v>
      </c>
      <c r="F14" s="10" t="s">
        <v>97</v>
      </c>
      <c r="M14" s="8"/>
      <c r="N14" s="19"/>
    </row>
    <row r="15" spans="1:16">
      <c r="A15" t="s">
        <v>89</v>
      </c>
      <c r="B15">
        <v>1</v>
      </c>
      <c r="C15">
        <v>2194058.1833402822</v>
      </c>
      <c r="D15">
        <v>2194058.1833402822</v>
      </c>
      <c r="E15">
        <v>294.72398427548114</v>
      </c>
      <c r="F15">
        <v>4.6269367558910499E-41</v>
      </c>
      <c r="M15" s="8"/>
      <c r="N15" s="19"/>
    </row>
    <row r="16" spans="1:16">
      <c r="A16" t="s">
        <v>90</v>
      </c>
      <c r="B16">
        <v>198</v>
      </c>
      <c r="C16">
        <v>1474001.2468592182</v>
      </c>
      <c r="D16">
        <v>7444.4507417132236</v>
      </c>
      <c r="M16" s="8"/>
      <c r="N16" s="19"/>
    </row>
    <row r="17" spans="1:14" ht="15" thickBot="1">
      <c r="A17" s="9" t="s">
        <v>91</v>
      </c>
      <c r="B17" s="9">
        <v>199</v>
      </c>
      <c r="C17" s="9">
        <v>3668059.4301995002</v>
      </c>
      <c r="D17" s="9"/>
      <c r="E17" s="9"/>
      <c r="F17" s="9"/>
      <c r="M17" s="8"/>
      <c r="N17" s="19"/>
    </row>
    <row r="18" spans="1:14" ht="15" thickBot="1">
      <c r="M18" s="8"/>
      <c r="N18" s="19"/>
    </row>
    <row r="19" spans="1:14">
      <c r="A19" s="10"/>
      <c r="B19" s="10" t="s">
        <v>98</v>
      </c>
      <c r="C19" s="10" t="s">
        <v>86</v>
      </c>
      <c r="D19" s="10" t="s">
        <v>99</v>
      </c>
      <c r="E19" s="10" t="s">
        <v>100</v>
      </c>
      <c r="F19" s="10" t="s">
        <v>101</v>
      </c>
      <c r="G19" s="10" t="s">
        <v>102</v>
      </c>
      <c r="H19" s="10" t="s">
        <v>103</v>
      </c>
      <c r="I19" s="10" t="s">
        <v>104</v>
      </c>
      <c r="M19" s="8"/>
      <c r="N19" s="19"/>
    </row>
    <row r="20" spans="1:14">
      <c r="A20" t="s">
        <v>92</v>
      </c>
      <c r="B20">
        <v>-1.0315504901911368</v>
      </c>
      <c r="C20">
        <v>20.860617005445505</v>
      </c>
      <c r="D20">
        <v>-4.9449663445805959E-2</v>
      </c>
      <c r="E20">
        <v>0.96061079696907459</v>
      </c>
      <c r="F20">
        <v>-42.169051823378965</v>
      </c>
      <c r="G20">
        <v>40.105950842996691</v>
      </c>
      <c r="H20">
        <v>-42.169051823378965</v>
      </c>
      <c r="I20">
        <v>40.105950842996691</v>
      </c>
      <c r="M20" s="8"/>
      <c r="N20" s="19"/>
    </row>
    <row r="21" spans="1:14" ht="15" thickBot="1">
      <c r="A21" s="9" t="s">
        <v>4</v>
      </c>
      <c r="B21" s="9">
        <v>0.35085598819512254</v>
      </c>
      <c r="C21" s="9">
        <v>2.0437188630135626E-2</v>
      </c>
      <c r="D21" s="9">
        <v>17.167527028535048</v>
      </c>
      <c r="E21" s="9">
        <v>4.6269367558907868E-41</v>
      </c>
      <c r="F21" s="9">
        <v>0.31055349501865764</v>
      </c>
      <c r="G21" s="9">
        <v>0.39115848137158743</v>
      </c>
      <c r="H21" s="9">
        <v>0.31055349501865764</v>
      </c>
      <c r="I21" s="9">
        <v>0.39115848137158743</v>
      </c>
      <c r="M21" s="8"/>
      <c r="N21" s="19"/>
    </row>
    <row r="22" spans="1:14">
      <c r="M22" s="8"/>
      <c r="N22" s="19"/>
    </row>
    <row r="23" spans="1:14">
      <c r="M23" s="8"/>
      <c r="N23" s="19"/>
    </row>
    <row r="24" spans="1:14">
      <c r="A24" s="35" t="s">
        <v>163</v>
      </c>
      <c r="B24" s="36"/>
      <c r="C24" s="36"/>
      <c r="D24" s="36"/>
      <c r="E24" s="36"/>
      <c r="F24" s="36"/>
      <c r="M24" s="8"/>
      <c r="N24" s="19"/>
    </row>
    <row r="25" spans="1:14">
      <c r="A25" s="12" t="s">
        <v>4</v>
      </c>
      <c r="B25" s="12"/>
      <c r="C25" s="12" t="s">
        <v>5</v>
      </c>
      <c r="D25" s="12"/>
      <c r="E25" s="12" t="s">
        <v>6</v>
      </c>
      <c r="F25" s="12"/>
      <c r="G25" s="12" t="s">
        <v>7</v>
      </c>
      <c r="H25" s="12"/>
      <c r="I25" s="12" t="s">
        <v>8</v>
      </c>
      <c r="J25" s="12"/>
      <c r="M25" s="8"/>
      <c r="N25" s="19"/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M26" s="8"/>
      <c r="N26" s="19"/>
    </row>
    <row r="27" spans="1:14">
      <c r="A27" s="7" t="s">
        <v>105</v>
      </c>
      <c r="B27" s="7">
        <v>976.08879999999965</v>
      </c>
      <c r="C27" s="7" t="s">
        <v>105</v>
      </c>
      <c r="D27" s="7">
        <v>9.9949999999999992</v>
      </c>
      <c r="E27" s="7" t="s">
        <v>105</v>
      </c>
      <c r="F27" s="7">
        <v>9.7250000000000003E-2</v>
      </c>
      <c r="G27" s="7" t="s">
        <v>105</v>
      </c>
      <c r="H27" s="7">
        <v>45564.144999999997</v>
      </c>
      <c r="I27" s="7" t="s">
        <v>105</v>
      </c>
      <c r="J27" s="7">
        <v>341.43505000000005</v>
      </c>
      <c r="M27" s="8"/>
      <c r="N27" s="19"/>
    </row>
    <row r="28" spans="1:14">
      <c r="A28" s="7" t="s">
        <v>86</v>
      </c>
      <c r="B28" s="7">
        <v>21.161850448978406</v>
      </c>
      <c r="C28" s="7" t="s">
        <v>86</v>
      </c>
      <c r="D28" s="7">
        <v>0.39927682743257598</v>
      </c>
      <c r="E28" s="7" t="s">
        <v>86</v>
      </c>
      <c r="F28" s="7">
        <v>5.1142413732752686E-3</v>
      </c>
      <c r="G28" s="7" t="s">
        <v>86</v>
      </c>
      <c r="H28" s="7">
        <v>7.9187976775702165</v>
      </c>
      <c r="I28" s="7" t="s">
        <v>86</v>
      </c>
      <c r="J28" s="7">
        <v>9.6001196472332531</v>
      </c>
      <c r="M28" s="8"/>
      <c r="N28" s="19"/>
    </row>
    <row r="29" spans="1:14">
      <c r="A29" s="7" t="s">
        <v>106</v>
      </c>
      <c r="B29" s="7">
        <v>976.72</v>
      </c>
      <c r="C29" s="7" t="s">
        <v>106</v>
      </c>
      <c r="D29" s="7">
        <v>10</v>
      </c>
      <c r="E29" s="7" t="s">
        <v>106</v>
      </c>
      <c r="F29" s="7">
        <v>0.1</v>
      </c>
      <c r="G29" s="7" t="s">
        <v>106</v>
      </c>
      <c r="H29" s="7">
        <v>45564.5</v>
      </c>
      <c r="I29" s="7" t="s">
        <v>106</v>
      </c>
      <c r="J29" s="7">
        <v>332.255</v>
      </c>
      <c r="M29" s="8"/>
      <c r="N29" s="19"/>
    </row>
    <row r="30" spans="1:14">
      <c r="A30" s="7" t="s">
        <v>107</v>
      </c>
      <c r="B30" s="7" t="e">
        <v>#N/A</v>
      </c>
      <c r="C30" s="7" t="s">
        <v>107</v>
      </c>
      <c r="D30" s="7">
        <v>8</v>
      </c>
      <c r="E30" s="7" t="s">
        <v>107</v>
      </c>
      <c r="F30" s="7">
        <v>0.2</v>
      </c>
      <c r="G30" s="7" t="s">
        <v>107</v>
      </c>
      <c r="H30" s="7">
        <v>45429</v>
      </c>
      <c r="I30" s="7" t="s">
        <v>107</v>
      </c>
      <c r="J30" s="7" t="e">
        <v>#N/A</v>
      </c>
      <c r="M30" s="8"/>
      <c r="N30" s="19"/>
    </row>
    <row r="31" spans="1:14">
      <c r="A31" s="7" t="s">
        <v>108</v>
      </c>
      <c r="B31" s="7">
        <v>299.27375909856431</v>
      </c>
      <c r="C31" s="7" t="s">
        <v>108</v>
      </c>
      <c r="D31" s="7">
        <v>5.6466270449645082</v>
      </c>
      <c r="E31" s="7" t="s">
        <v>108</v>
      </c>
      <c r="F31" s="7">
        <v>7.232629511335488E-2</v>
      </c>
      <c r="G31" s="7" t="s">
        <v>108</v>
      </c>
      <c r="H31" s="7">
        <v>111.98871073308368</v>
      </c>
      <c r="I31" s="7" t="s">
        <v>108</v>
      </c>
      <c r="J31" s="7">
        <v>135.7661940552168</v>
      </c>
      <c r="M31" s="8"/>
      <c r="N31" s="19"/>
    </row>
    <row r="32" spans="1:14">
      <c r="A32" s="7" t="s">
        <v>109</v>
      </c>
      <c r="B32" s="7">
        <v>89564.782884985514</v>
      </c>
      <c r="C32" s="7" t="s">
        <v>109</v>
      </c>
      <c r="D32" s="7">
        <v>31.884396984924617</v>
      </c>
      <c r="E32" s="7" t="s">
        <v>109</v>
      </c>
      <c r="F32" s="7">
        <v>5.2310929648241022E-3</v>
      </c>
      <c r="G32" s="7" t="s">
        <v>109</v>
      </c>
      <c r="H32" s="7">
        <v>12541.471331658293</v>
      </c>
      <c r="I32" s="7" t="s">
        <v>109</v>
      </c>
      <c r="J32" s="7">
        <v>18432.459448238787</v>
      </c>
      <c r="M32" s="8"/>
      <c r="N32" s="19"/>
    </row>
    <row r="33" spans="1:14">
      <c r="A33" s="7" t="s">
        <v>110</v>
      </c>
      <c r="B33" s="7">
        <v>-8.8595231919740502E-2</v>
      </c>
      <c r="C33" s="7" t="s">
        <v>110</v>
      </c>
      <c r="D33" s="7">
        <v>-1.2091053826620759</v>
      </c>
      <c r="E33" s="7" t="s">
        <v>110</v>
      </c>
      <c r="F33" s="7">
        <v>-1.3257012415855784</v>
      </c>
      <c r="G33" s="7" t="s">
        <v>110</v>
      </c>
      <c r="H33" s="7">
        <v>-1.2820132193662439</v>
      </c>
      <c r="I33" s="7" t="s">
        <v>110</v>
      </c>
      <c r="J33" s="7">
        <v>0.26450643813582442</v>
      </c>
      <c r="M33" s="8"/>
      <c r="N33" s="19"/>
    </row>
    <row r="34" spans="1:14">
      <c r="A34" s="7" t="s">
        <v>111</v>
      </c>
      <c r="B34" s="7">
        <v>0.14685796564193557</v>
      </c>
      <c r="C34" s="7" t="s">
        <v>111</v>
      </c>
      <c r="D34" s="7">
        <v>6.084586432077814E-2</v>
      </c>
      <c r="E34" s="7" t="s">
        <v>111</v>
      </c>
      <c r="F34" s="7">
        <v>9.6827385576684841E-2</v>
      </c>
      <c r="G34" s="7" t="s">
        <v>111</v>
      </c>
      <c r="H34" s="7">
        <v>6.0697356405978772E-2</v>
      </c>
      <c r="I34" s="7" t="s">
        <v>111</v>
      </c>
      <c r="J34" s="7">
        <v>0.57339636063424715</v>
      </c>
      <c r="M34" s="8"/>
      <c r="N34" s="19"/>
    </row>
    <row r="35" spans="1:14">
      <c r="A35" s="7" t="s">
        <v>112</v>
      </c>
      <c r="B35" s="7">
        <v>1665.15</v>
      </c>
      <c r="C35" s="7" t="s">
        <v>112</v>
      </c>
      <c r="D35" s="7">
        <v>18</v>
      </c>
      <c r="E35" s="7" t="s">
        <v>112</v>
      </c>
      <c r="F35" s="7">
        <v>0.2</v>
      </c>
      <c r="G35" s="7" t="s">
        <v>112</v>
      </c>
      <c r="H35" s="7">
        <v>362</v>
      </c>
      <c r="I35" s="7" t="s">
        <v>112</v>
      </c>
      <c r="J35" s="7">
        <v>704.83</v>
      </c>
      <c r="M35" s="8"/>
      <c r="N35" s="19"/>
    </row>
    <row r="36" spans="1:14">
      <c r="A36" s="7" t="s">
        <v>113</v>
      </c>
      <c r="B36" s="7">
        <v>258.51</v>
      </c>
      <c r="C36" s="7" t="s">
        <v>113</v>
      </c>
      <c r="D36" s="7">
        <v>1</v>
      </c>
      <c r="E36" s="7" t="s">
        <v>113</v>
      </c>
      <c r="F36" s="7">
        <v>0</v>
      </c>
      <c r="G36" s="7" t="s">
        <v>113</v>
      </c>
      <c r="H36" s="7">
        <v>45392</v>
      </c>
      <c r="I36" s="7" t="s">
        <v>113</v>
      </c>
      <c r="J36" s="7">
        <v>64.63</v>
      </c>
      <c r="M36" s="8"/>
      <c r="N36" s="19"/>
    </row>
    <row r="37" spans="1:14">
      <c r="A37" s="7" t="s">
        <v>114</v>
      </c>
      <c r="B37" s="7">
        <v>1923.66</v>
      </c>
      <c r="C37" s="7" t="s">
        <v>114</v>
      </c>
      <c r="D37" s="7">
        <v>19</v>
      </c>
      <c r="E37" s="7" t="s">
        <v>114</v>
      </c>
      <c r="F37" s="7">
        <v>0.2</v>
      </c>
      <c r="G37" s="7" t="s">
        <v>114</v>
      </c>
      <c r="H37" s="7">
        <v>45754</v>
      </c>
      <c r="I37" s="7" t="s">
        <v>114</v>
      </c>
      <c r="J37" s="7">
        <v>769.46</v>
      </c>
      <c r="M37" s="8"/>
      <c r="N37" s="19"/>
    </row>
    <row r="38" spans="1:14">
      <c r="A38" s="7" t="s">
        <v>115</v>
      </c>
      <c r="B38" s="7">
        <v>195217.75999999992</v>
      </c>
      <c r="C38" s="7" t="s">
        <v>115</v>
      </c>
      <c r="D38" s="7">
        <v>1999</v>
      </c>
      <c r="E38" s="7" t="s">
        <v>115</v>
      </c>
      <c r="F38" s="7">
        <v>19.45</v>
      </c>
      <c r="G38" s="7" t="s">
        <v>115</v>
      </c>
      <c r="H38" s="7">
        <v>9112829</v>
      </c>
      <c r="I38" s="7" t="s">
        <v>115</v>
      </c>
      <c r="J38" s="7">
        <v>68287.010000000009</v>
      </c>
      <c r="M38" s="8"/>
      <c r="N38" s="19"/>
    </row>
    <row r="39" spans="1:14">
      <c r="A39" s="7" t="s">
        <v>116</v>
      </c>
      <c r="B39" s="7">
        <v>200</v>
      </c>
      <c r="C39" s="7" t="s">
        <v>116</v>
      </c>
      <c r="D39" s="7">
        <v>200</v>
      </c>
      <c r="E39" s="7" t="s">
        <v>116</v>
      </c>
      <c r="F39" s="7">
        <v>200</v>
      </c>
      <c r="G39" s="7" t="s">
        <v>116</v>
      </c>
      <c r="H39" s="7">
        <v>200</v>
      </c>
      <c r="I39" s="7" t="s">
        <v>116</v>
      </c>
      <c r="J39" s="7">
        <v>200</v>
      </c>
      <c r="M39" s="8"/>
      <c r="N39" s="19"/>
    </row>
    <row r="40" spans="1:14">
      <c r="M40" s="8"/>
      <c r="N40" s="19"/>
    </row>
    <row r="41" spans="1:14">
      <c r="A41" s="37" t="s">
        <v>117</v>
      </c>
      <c r="B41" s="37"/>
      <c r="C41" s="37"/>
      <c r="D41" s="37"/>
      <c r="E41" s="37"/>
      <c r="M41" s="8"/>
      <c r="N41" s="19"/>
    </row>
    <row r="42" spans="1:14">
      <c r="A42" s="13" t="s">
        <v>118</v>
      </c>
      <c r="B42" t="s">
        <v>122</v>
      </c>
      <c r="M42" s="8"/>
      <c r="N42" s="19"/>
    </row>
    <row r="43" spans="1:14">
      <c r="A43" s="14" t="s">
        <v>120</v>
      </c>
      <c r="B43">
        <v>145429.36000000002</v>
      </c>
      <c r="C43" s="16">
        <f>(B44-B43)/B43</f>
        <v>-0.86914636769356624</v>
      </c>
      <c r="M43" s="8"/>
      <c r="N43" s="19"/>
    </row>
    <row r="44" spans="1:14">
      <c r="A44" s="15" t="s">
        <v>124</v>
      </c>
      <c r="B44">
        <v>19029.96</v>
      </c>
      <c r="C44" s="16">
        <f t="shared" ref="C44:C58" si="0">(B45-B44)/B44</f>
        <v>-2.7463010957458799E-2</v>
      </c>
      <c r="M44" s="8"/>
      <c r="N44" s="19"/>
    </row>
    <row r="45" spans="1:14">
      <c r="A45" s="15" t="s">
        <v>125</v>
      </c>
      <c r="B45">
        <v>18507.339999999997</v>
      </c>
      <c r="C45" s="16">
        <f t="shared" si="0"/>
        <v>9.0783980842195702E-2</v>
      </c>
      <c r="M45" s="8"/>
      <c r="N45" s="19"/>
    </row>
    <row r="46" spans="1:14">
      <c r="A46" s="15" t="s">
        <v>126</v>
      </c>
      <c r="B46">
        <v>20187.509999999998</v>
      </c>
      <c r="C46" s="16">
        <f t="shared" si="0"/>
        <v>-0.42493947990614001</v>
      </c>
      <c r="M46" s="8"/>
      <c r="N46" s="19"/>
    </row>
    <row r="47" spans="1:14">
      <c r="A47" s="15" t="s">
        <v>127</v>
      </c>
      <c r="B47">
        <v>11609.039999999999</v>
      </c>
      <c r="C47" s="16">
        <f t="shared" si="0"/>
        <v>-0.13070331396911375</v>
      </c>
      <c r="M47" s="8"/>
      <c r="N47" s="19"/>
    </row>
    <row r="48" spans="1:14">
      <c r="A48" s="15" t="s">
        <v>128</v>
      </c>
      <c r="B48">
        <v>10091.699999999999</v>
      </c>
      <c r="C48" s="16">
        <f t="shared" si="0"/>
        <v>1.0346918755016496</v>
      </c>
      <c r="M48" s="8"/>
      <c r="N48" s="19"/>
    </row>
    <row r="49" spans="1:14">
      <c r="A49" s="15" t="s">
        <v>129</v>
      </c>
      <c r="B49">
        <v>20533.499999999996</v>
      </c>
      <c r="C49" s="16">
        <f t="shared" si="0"/>
        <v>-0.30770496992719193</v>
      </c>
      <c r="M49" s="8"/>
      <c r="N49" s="19"/>
    </row>
    <row r="50" spans="1:14">
      <c r="A50" s="15" t="s">
        <v>130</v>
      </c>
      <c r="B50">
        <v>14215.240000000002</v>
      </c>
      <c r="C50" s="16">
        <f t="shared" si="0"/>
        <v>0.4164396802305132</v>
      </c>
      <c r="M50" s="8"/>
      <c r="N50" s="19"/>
    </row>
    <row r="51" spans="1:14">
      <c r="A51" s="15" t="s">
        <v>131</v>
      </c>
      <c r="B51">
        <v>20135.030000000002</v>
      </c>
      <c r="C51" s="16">
        <f t="shared" si="0"/>
        <v>-0.44772667336477773</v>
      </c>
      <c r="M51" s="8"/>
      <c r="N51" s="19"/>
    </row>
    <row r="52" spans="1:14">
      <c r="A52" s="15" t="s">
        <v>132</v>
      </c>
      <c r="B52">
        <v>11120.04</v>
      </c>
      <c r="C52" s="16">
        <f t="shared" si="0"/>
        <v>3.4773579951151246</v>
      </c>
      <c r="M52" s="8"/>
      <c r="N52" s="19"/>
    </row>
    <row r="53" spans="1:14">
      <c r="A53" s="14" t="s">
        <v>121</v>
      </c>
      <c r="B53">
        <v>49788.399999999994</v>
      </c>
      <c r="C53" s="16">
        <f t="shared" si="0"/>
        <v>-0.70043925894385028</v>
      </c>
      <c r="M53" s="8"/>
      <c r="N53" s="19"/>
    </row>
    <row r="54" spans="1:14">
      <c r="A54" s="15" t="s">
        <v>133</v>
      </c>
      <c r="B54">
        <v>14914.650000000001</v>
      </c>
      <c r="C54" s="16">
        <f t="shared" si="0"/>
        <v>-6.0899183018039482E-2</v>
      </c>
      <c r="M54" s="8"/>
      <c r="N54" s="19"/>
    </row>
    <row r="55" spans="1:14">
      <c r="A55" s="15" t="s">
        <v>134</v>
      </c>
      <c r="B55">
        <v>14006.359999999999</v>
      </c>
      <c r="C55" s="16">
        <f t="shared" si="0"/>
        <v>0.26051450912299834</v>
      </c>
      <c r="M55" s="8"/>
      <c r="N55" s="19"/>
    </row>
    <row r="56" spans="1:14">
      <c r="A56" s="15" t="s">
        <v>135</v>
      </c>
      <c r="B56">
        <v>17655.219999999998</v>
      </c>
      <c r="C56" s="16">
        <f t="shared" si="0"/>
        <v>-0.81806117397574196</v>
      </c>
      <c r="M56" s="8"/>
      <c r="N56" s="19"/>
    </row>
    <row r="57" spans="1:14">
      <c r="A57" s="15" t="s">
        <v>124</v>
      </c>
      <c r="B57">
        <v>3212.17</v>
      </c>
      <c r="C57" s="16">
        <f t="shared" si="0"/>
        <v>59.774417294227888</v>
      </c>
      <c r="M57" s="8"/>
      <c r="N57" s="19"/>
    </row>
    <row r="58" spans="1:14">
      <c r="A58" s="14" t="s">
        <v>119</v>
      </c>
      <c r="B58">
        <v>195217.76</v>
      </c>
      <c r="C58" s="16">
        <f t="shared" si="0"/>
        <v>-1</v>
      </c>
      <c r="M58" s="8"/>
      <c r="N58" s="19"/>
    </row>
    <row r="59" spans="1:14">
      <c r="M59" s="8"/>
      <c r="N59" s="19"/>
    </row>
    <row r="60" spans="1:14">
      <c r="M60" s="8"/>
      <c r="N60" s="19"/>
    </row>
    <row r="61" spans="1:14">
      <c r="M61" s="8"/>
      <c r="N61" s="19"/>
    </row>
    <row r="62" spans="1:14">
      <c r="M62" s="8"/>
      <c r="N62" s="19"/>
    </row>
    <row r="63" spans="1:14">
      <c r="A63" s="17"/>
      <c r="M63" s="8"/>
      <c r="N63" s="19"/>
    </row>
    <row r="64" spans="1:14">
      <c r="M64" s="8"/>
      <c r="N64" s="19"/>
    </row>
    <row r="65" spans="13:14">
      <c r="M65" s="8"/>
      <c r="N65" s="19"/>
    </row>
    <row r="66" spans="13:14">
      <c r="M66" s="8"/>
      <c r="N66" s="19"/>
    </row>
    <row r="67" spans="13:14">
      <c r="M67" s="8"/>
      <c r="N67" s="19"/>
    </row>
    <row r="68" spans="13:14">
      <c r="M68" s="8"/>
      <c r="N68" s="19"/>
    </row>
    <row r="69" spans="13:14">
      <c r="M69" s="8"/>
      <c r="N69" s="19"/>
    </row>
    <row r="70" spans="13:14">
      <c r="M70" s="8"/>
      <c r="N70" s="19"/>
    </row>
    <row r="71" spans="13:14">
      <c r="M71" s="8"/>
      <c r="N71" s="19"/>
    </row>
    <row r="72" spans="13:14">
      <c r="M72" s="8"/>
      <c r="N72" s="19"/>
    </row>
    <row r="73" spans="13:14">
      <c r="M73" s="8"/>
      <c r="N73" s="19"/>
    </row>
    <row r="74" spans="13:14">
      <c r="M74" s="8"/>
      <c r="N74" s="19"/>
    </row>
    <row r="75" spans="13:14">
      <c r="M75" s="8"/>
      <c r="N75" s="19"/>
    </row>
    <row r="76" spans="13:14">
      <c r="M76" s="8"/>
      <c r="N76" s="19"/>
    </row>
    <row r="77" spans="13:14">
      <c r="M77" s="8"/>
      <c r="N77" s="19"/>
    </row>
    <row r="78" spans="13:14">
      <c r="M78" s="8"/>
      <c r="N78" s="19"/>
    </row>
    <row r="79" spans="13:14">
      <c r="M79" s="8"/>
      <c r="N79" s="19"/>
    </row>
    <row r="80" spans="13:14">
      <c r="M80" s="8"/>
      <c r="N80" s="19"/>
    </row>
    <row r="81" spans="13:14">
      <c r="M81" s="8"/>
      <c r="N81" s="19"/>
    </row>
    <row r="82" spans="13:14">
      <c r="M82" s="8"/>
      <c r="N82" s="19"/>
    </row>
    <row r="83" spans="13:14">
      <c r="M83" s="8"/>
      <c r="N83" s="19"/>
    </row>
    <row r="84" spans="13:14">
      <c r="M84" s="8"/>
      <c r="N84" s="19"/>
    </row>
    <row r="85" spans="13:14">
      <c r="M85" s="8"/>
      <c r="N85" s="19"/>
    </row>
    <row r="86" spans="13:14">
      <c r="M86" s="8"/>
      <c r="N86" s="19"/>
    </row>
    <row r="87" spans="13:14">
      <c r="M87" s="8"/>
      <c r="N87" s="19"/>
    </row>
    <row r="88" spans="13:14">
      <c r="M88" s="8"/>
      <c r="N88" s="19"/>
    </row>
    <row r="89" spans="13:14">
      <c r="M89" s="8"/>
      <c r="N89" s="19"/>
    </row>
    <row r="90" spans="13:14">
      <c r="M90" s="8"/>
      <c r="N90" s="19"/>
    </row>
    <row r="91" spans="13:14">
      <c r="M91" s="8"/>
      <c r="N91" s="19"/>
    </row>
    <row r="92" spans="13:14">
      <c r="M92" s="8"/>
      <c r="N92" s="19"/>
    </row>
    <row r="93" spans="13:14">
      <c r="M93" s="8"/>
      <c r="N93" s="19"/>
    </row>
    <row r="94" spans="13:14">
      <c r="M94" s="8"/>
      <c r="N94" s="19"/>
    </row>
    <row r="95" spans="13:14">
      <c r="M95" s="8"/>
      <c r="N95" s="19"/>
    </row>
    <row r="96" spans="13:14">
      <c r="M96" s="8"/>
      <c r="N96" s="19"/>
    </row>
    <row r="97" spans="13:14">
      <c r="M97" s="8"/>
      <c r="N97" s="19"/>
    </row>
    <row r="98" spans="13:14">
      <c r="M98" s="8"/>
      <c r="N98" s="19"/>
    </row>
    <row r="99" spans="13:14">
      <c r="M99" s="8"/>
      <c r="N99" s="19"/>
    </row>
    <row r="100" spans="13:14">
      <c r="M100" s="8"/>
      <c r="N100" s="19"/>
    </row>
    <row r="101" spans="13:14">
      <c r="M101" s="8"/>
      <c r="N101" s="19"/>
    </row>
    <row r="102" spans="13:14">
      <c r="M102" s="8"/>
      <c r="N102" s="19"/>
    </row>
    <row r="103" spans="13:14">
      <c r="M103" s="8"/>
      <c r="N103" s="19"/>
    </row>
    <row r="104" spans="13:14">
      <c r="M104" s="8"/>
      <c r="N104" s="19"/>
    </row>
    <row r="105" spans="13:14">
      <c r="M105" s="8"/>
      <c r="N105" s="19"/>
    </row>
    <row r="106" spans="13:14">
      <c r="M106" s="8"/>
      <c r="N106" s="19"/>
    </row>
    <row r="107" spans="13:14">
      <c r="M107" s="8"/>
      <c r="N107" s="19"/>
    </row>
    <row r="108" spans="13:14">
      <c r="M108" s="8"/>
      <c r="N108" s="19"/>
    </row>
    <row r="109" spans="13:14">
      <c r="M109" s="8"/>
      <c r="N109" s="19"/>
    </row>
    <row r="110" spans="13:14">
      <c r="M110" s="8"/>
      <c r="N110" s="19"/>
    </row>
    <row r="111" spans="13:14">
      <c r="M111" s="8"/>
      <c r="N111" s="19"/>
    </row>
    <row r="112" spans="13:14">
      <c r="M112" s="8"/>
      <c r="N112" s="19"/>
    </row>
    <row r="113" spans="13:14">
      <c r="M113" s="8"/>
      <c r="N113" s="19"/>
    </row>
    <row r="114" spans="13:14">
      <c r="M114" s="8"/>
      <c r="N114" s="19"/>
    </row>
    <row r="115" spans="13:14">
      <c r="M115" s="8"/>
      <c r="N115" s="19"/>
    </row>
    <row r="116" spans="13:14">
      <c r="M116" s="8"/>
      <c r="N116" s="19"/>
    </row>
    <row r="117" spans="13:14">
      <c r="M117" s="8"/>
      <c r="N117" s="19"/>
    </row>
    <row r="118" spans="13:14">
      <c r="M118" s="8"/>
      <c r="N118" s="19"/>
    </row>
    <row r="119" spans="13:14">
      <c r="M119" s="8"/>
      <c r="N119" s="19"/>
    </row>
    <row r="120" spans="13:14">
      <c r="M120" s="8"/>
      <c r="N120" s="19"/>
    </row>
    <row r="121" spans="13:14">
      <c r="M121" s="8"/>
      <c r="N121" s="19"/>
    </row>
    <row r="122" spans="13:14">
      <c r="M122" s="8"/>
      <c r="N122" s="19"/>
    </row>
    <row r="123" spans="13:14">
      <c r="M123" s="8"/>
      <c r="N123" s="19"/>
    </row>
    <row r="124" spans="13:14">
      <c r="M124" s="8"/>
      <c r="N124" s="19"/>
    </row>
    <row r="125" spans="13:14">
      <c r="M125" s="8"/>
      <c r="N125" s="19"/>
    </row>
    <row r="126" spans="13:14">
      <c r="M126" s="8"/>
      <c r="N126" s="19"/>
    </row>
    <row r="127" spans="13:14">
      <c r="M127" s="8"/>
      <c r="N127" s="19"/>
    </row>
    <row r="128" spans="13:14">
      <c r="M128" s="8"/>
      <c r="N128" s="19"/>
    </row>
    <row r="129" spans="13:14">
      <c r="M129" s="8"/>
      <c r="N129" s="19"/>
    </row>
    <row r="130" spans="13:14">
      <c r="M130" s="8"/>
      <c r="N130" s="19"/>
    </row>
    <row r="131" spans="13:14">
      <c r="M131" s="8"/>
      <c r="N131" s="19"/>
    </row>
    <row r="132" spans="13:14">
      <c r="M132" s="8"/>
      <c r="N132" s="19"/>
    </row>
    <row r="133" spans="13:14">
      <c r="M133" s="8"/>
      <c r="N133" s="19"/>
    </row>
    <row r="134" spans="13:14">
      <c r="M134" s="8"/>
      <c r="N134" s="19"/>
    </row>
    <row r="135" spans="13:14">
      <c r="M135" s="8"/>
      <c r="N135" s="19"/>
    </row>
    <row r="136" spans="13:14">
      <c r="M136" s="8"/>
      <c r="N136" s="19"/>
    </row>
    <row r="137" spans="13:14">
      <c r="M137" s="8"/>
      <c r="N137" s="19"/>
    </row>
    <row r="138" spans="13:14">
      <c r="M138" s="8"/>
      <c r="N138" s="19"/>
    </row>
    <row r="139" spans="13:14">
      <c r="M139" s="8"/>
      <c r="N139" s="19"/>
    </row>
    <row r="140" spans="13:14">
      <c r="M140" s="8"/>
      <c r="N140" s="19"/>
    </row>
    <row r="141" spans="13:14">
      <c r="M141" s="8"/>
      <c r="N141" s="19"/>
    </row>
    <row r="142" spans="13:14">
      <c r="M142" s="8"/>
      <c r="N142" s="19"/>
    </row>
    <row r="143" spans="13:14">
      <c r="M143" s="8"/>
      <c r="N143" s="19"/>
    </row>
    <row r="144" spans="13:14">
      <c r="M144" s="8"/>
      <c r="N144" s="19"/>
    </row>
    <row r="145" spans="13:14">
      <c r="M145" s="8"/>
      <c r="N145" s="19"/>
    </row>
    <row r="146" spans="13:14">
      <c r="M146" s="8"/>
      <c r="N146" s="19"/>
    </row>
    <row r="147" spans="13:14">
      <c r="M147" s="8"/>
      <c r="N147" s="19"/>
    </row>
    <row r="148" spans="13:14">
      <c r="M148" s="8"/>
      <c r="N148" s="19"/>
    </row>
    <row r="149" spans="13:14">
      <c r="M149" s="8"/>
      <c r="N149" s="19"/>
    </row>
    <row r="150" spans="13:14">
      <c r="M150" s="8"/>
      <c r="N150" s="19"/>
    </row>
    <row r="151" spans="13:14">
      <c r="M151" s="8"/>
      <c r="N151" s="19"/>
    </row>
    <row r="152" spans="13:14">
      <c r="M152" s="8"/>
      <c r="N152" s="19"/>
    </row>
    <row r="153" spans="13:14">
      <c r="M153" s="8"/>
      <c r="N153" s="19"/>
    </row>
    <row r="154" spans="13:14">
      <c r="M154" s="8"/>
      <c r="N154" s="19"/>
    </row>
    <row r="155" spans="13:14">
      <c r="M155" s="8"/>
      <c r="N155" s="19"/>
    </row>
    <row r="156" spans="13:14">
      <c r="M156" s="8"/>
      <c r="N156" s="19"/>
    </row>
    <row r="157" spans="13:14">
      <c r="M157" s="8"/>
      <c r="N157" s="19"/>
    </row>
    <row r="158" spans="13:14">
      <c r="M158" s="8"/>
      <c r="N158" s="19"/>
    </row>
    <row r="159" spans="13:14">
      <c r="M159" s="8"/>
      <c r="N159" s="19"/>
    </row>
    <row r="160" spans="13:14">
      <c r="M160" s="8"/>
      <c r="N160" s="19"/>
    </row>
    <row r="161" spans="13:14">
      <c r="M161" s="8"/>
      <c r="N161" s="19"/>
    </row>
    <row r="162" spans="13:14">
      <c r="M162" s="8"/>
      <c r="N162" s="19"/>
    </row>
    <row r="163" spans="13:14">
      <c r="M163" s="8"/>
      <c r="N163" s="19"/>
    </row>
    <row r="164" spans="13:14">
      <c r="M164" s="8"/>
      <c r="N164" s="19"/>
    </row>
    <row r="165" spans="13:14">
      <c r="M165" s="8"/>
      <c r="N165" s="19"/>
    </row>
    <row r="166" spans="13:14">
      <c r="M166" s="8"/>
      <c r="N166" s="19"/>
    </row>
    <row r="167" spans="13:14">
      <c r="M167" s="8"/>
      <c r="N167" s="19"/>
    </row>
    <row r="168" spans="13:14">
      <c r="M168" s="8"/>
      <c r="N168" s="19"/>
    </row>
    <row r="169" spans="13:14">
      <c r="M169" s="8"/>
      <c r="N169" s="19"/>
    </row>
    <row r="170" spans="13:14">
      <c r="M170" s="8"/>
      <c r="N170" s="19"/>
    </row>
    <row r="171" spans="13:14">
      <c r="M171" s="8"/>
      <c r="N171" s="19"/>
    </row>
    <row r="172" spans="13:14">
      <c r="M172" s="8"/>
      <c r="N172" s="19"/>
    </row>
    <row r="173" spans="13:14">
      <c r="M173" s="8"/>
      <c r="N173" s="19"/>
    </row>
    <row r="174" spans="13:14">
      <c r="M174" s="8"/>
      <c r="N174" s="19"/>
    </row>
    <row r="175" spans="13:14">
      <c r="M175" s="8"/>
      <c r="N175" s="19"/>
    </row>
    <row r="176" spans="13:14">
      <c r="M176" s="8"/>
      <c r="N176" s="19"/>
    </row>
    <row r="177" spans="13:14">
      <c r="M177" s="8"/>
      <c r="N177" s="19"/>
    </row>
    <row r="178" spans="13:14">
      <c r="M178" s="8"/>
      <c r="N178" s="19"/>
    </row>
    <row r="179" spans="13:14">
      <c r="M179" s="8"/>
      <c r="N179" s="19"/>
    </row>
    <row r="180" spans="13:14">
      <c r="M180" s="8"/>
      <c r="N180" s="19"/>
    </row>
    <row r="181" spans="13:14">
      <c r="M181" s="8"/>
      <c r="N181" s="19"/>
    </row>
    <row r="182" spans="13:14">
      <c r="M182" s="8"/>
      <c r="N182" s="19"/>
    </row>
    <row r="183" spans="13:14">
      <c r="M183" s="8"/>
      <c r="N183" s="19"/>
    </row>
    <row r="184" spans="13:14">
      <c r="M184" s="8"/>
      <c r="N184" s="19"/>
    </row>
    <row r="185" spans="13:14">
      <c r="M185" s="8"/>
      <c r="N185" s="19"/>
    </row>
    <row r="186" spans="13:14">
      <c r="M186" s="8"/>
      <c r="N186" s="19"/>
    </row>
    <row r="187" spans="13:14">
      <c r="M187" s="8"/>
      <c r="N187" s="19"/>
    </row>
    <row r="188" spans="13:14">
      <c r="M188" s="8"/>
      <c r="N188" s="19"/>
    </row>
    <row r="189" spans="13:14">
      <c r="M189" s="8"/>
      <c r="N189" s="19"/>
    </row>
    <row r="190" spans="13:14">
      <c r="M190" s="8"/>
      <c r="N190" s="19"/>
    </row>
    <row r="191" spans="13:14">
      <c r="M191" s="8"/>
      <c r="N191" s="19"/>
    </row>
    <row r="192" spans="13:14">
      <c r="M192" s="8"/>
      <c r="N192" s="19"/>
    </row>
    <row r="193" spans="13:14">
      <c r="M193" s="8"/>
      <c r="N193" s="19"/>
    </row>
    <row r="194" spans="13:14">
      <c r="M194" s="8"/>
      <c r="N194" s="19"/>
    </row>
    <row r="195" spans="13:14">
      <c r="M195" s="8"/>
      <c r="N195" s="19"/>
    </row>
    <row r="196" spans="13:14">
      <c r="M196" s="8"/>
      <c r="N196" s="19"/>
    </row>
    <row r="197" spans="13:14">
      <c r="M197" s="8"/>
      <c r="N197" s="19"/>
    </row>
    <row r="198" spans="13:14">
      <c r="M198" s="8"/>
      <c r="N198" s="19"/>
    </row>
    <row r="199" spans="13:14">
      <c r="M199" s="8"/>
      <c r="N199" s="19"/>
    </row>
    <row r="200" spans="13:14">
      <c r="M200" s="8"/>
      <c r="N200" s="19"/>
    </row>
    <row r="201" spans="13:14">
      <c r="M201" s="8"/>
      <c r="N201" s="19"/>
    </row>
    <row r="202" spans="13:14">
      <c r="M202" s="8"/>
      <c r="N202" s="19"/>
    </row>
  </sheetData>
  <mergeCells count="4">
    <mergeCell ref="A1:E2"/>
    <mergeCell ref="A24:F24"/>
    <mergeCell ref="A41:E41"/>
    <mergeCell ref="L1:P1"/>
  </mergeCells>
  <conditionalFormatting sqref="C43:C5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670E-3E31-4446-955D-B887C1F0FFFE}">
  <dimension ref="A1:L201"/>
  <sheetViews>
    <sheetView zoomScale="86" workbookViewId="0">
      <selection activeCell="L4" sqref="L4"/>
    </sheetView>
  </sheetViews>
  <sheetFormatPr defaultRowHeight="14.4"/>
  <cols>
    <col min="8" max="8" width="11.88671875" customWidth="1"/>
    <col min="12" max="12" width="13.88671875" customWidth="1"/>
  </cols>
  <sheetData>
    <row r="1" spans="1:12" ht="28.8">
      <c r="A1" s="24" t="s">
        <v>0</v>
      </c>
      <c r="B1" s="24" t="s">
        <v>1</v>
      </c>
      <c r="C1" s="25" t="s">
        <v>2</v>
      </c>
      <c r="D1" s="24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1" t="s">
        <v>137</v>
      </c>
      <c r="K1" s="20"/>
      <c r="L1" s="23">
        <f>MAX(E2:E201)</f>
        <v>1923.66</v>
      </c>
    </row>
    <row r="2" spans="1:12">
      <c r="A2" t="s">
        <v>9</v>
      </c>
      <c r="B2" t="s">
        <v>10</v>
      </c>
      <c r="C2" t="s">
        <v>11</v>
      </c>
      <c r="D2" t="s">
        <v>12</v>
      </c>
      <c r="E2">
        <v>1036.0899999999999</v>
      </c>
      <c r="F2">
        <v>4</v>
      </c>
      <c r="G2">
        <v>0.2</v>
      </c>
      <c r="H2" s="8">
        <v>45392</v>
      </c>
      <c r="I2">
        <v>331.55</v>
      </c>
      <c r="J2" s="21" t="s">
        <v>138</v>
      </c>
      <c r="L2" t="str">
        <f>INDEX(B2:B201, MATCH(L1, E2:E201, 0))</f>
        <v>James Wilson</v>
      </c>
    </row>
    <row r="3" spans="1:12">
      <c r="A3" t="s">
        <v>13</v>
      </c>
      <c r="B3" t="s">
        <v>14</v>
      </c>
      <c r="C3" t="s">
        <v>11</v>
      </c>
      <c r="D3" t="s">
        <v>15</v>
      </c>
      <c r="E3">
        <v>1101.28</v>
      </c>
      <c r="F3">
        <v>3</v>
      </c>
      <c r="G3">
        <v>0.2</v>
      </c>
      <c r="H3" s="8">
        <v>45393</v>
      </c>
      <c r="I3">
        <v>440.51</v>
      </c>
      <c r="J3" s="22" t="s">
        <v>139</v>
      </c>
      <c r="L3" t="str">
        <f>INDEX(A2:A201, MATCH(L1, E2:E201, 0))</f>
        <v>CUST015</v>
      </c>
    </row>
    <row r="4" spans="1:12">
      <c r="A4" t="s">
        <v>16</v>
      </c>
      <c r="B4" t="s">
        <v>17</v>
      </c>
      <c r="C4" t="s">
        <v>18</v>
      </c>
      <c r="D4" t="s">
        <v>12</v>
      </c>
      <c r="E4">
        <v>713.34</v>
      </c>
      <c r="F4">
        <v>17</v>
      </c>
      <c r="G4">
        <v>0</v>
      </c>
      <c r="H4" s="8">
        <v>45396</v>
      </c>
      <c r="I4">
        <v>285.33999999999997</v>
      </c>
    </row>
    <row r="5" spans="1:12">
      <c r="A5" t="s">
        <v>19</v>
      </c>
      <c r="B5" t="s">
        <v>14</v>
      </c>
      <c r="C5" t="s">
        <v>20</v>
      </c>
      <c r="D5" t="s">
        <v>21</v>
      </c>
      <c r="E5">
        <v>760.93</v>
      </c>
      <c r="F5">
        <v>4</v>
      </c>
      <c r="G5">
        <v>0.15</v>
      </c>
      <c r="H5" s="8">
        <v>45396</v>
      </c>
      <c r="I5">
        <v>161.69999999999999</v>
      </c>
    </row>
    <row r="6" spans="1:12">
      <c r="A6" t="s">
        <v>22</v>
      </c>
      <c r="B6" t="s">
        <v>23</v>
      </c>
      <c r="C6" t="s">
        <v>24</v>
      </c>
      <c r="D6" t="s">
        <v>12</v>
      </c>
      <c r="E6">
        <v>847</v>
      </c>
      <c r="F6">
        <v>12</v>
      </c>
      <c r="G6">
        <v>0.2</v>
      </c>
      <c r="H6" s="8">
        <v>45397</v>
      </c>
      <c r="I6">
        <v>271.04000000000002</v>
      </c>
    </row>
    <row r="7" spans="1:12">
      <c r="A7" t="s">
        <v>25</v>
      </c>
      <c r="B7" t="s">
        <v>26</v>
      </c>
      <c r="C7" t="s">
        <v>24</v>
      </c>
      <c r="D7" t="s">
        <v>27</v>
      </c>
      <c r="E7">
        <v>965.64</v>
      </c>
      <c r="F7">
        <v>8</v>
      </c>
      <c r="G7">
        <v>0.1</v>
      </c>
      <c r="H7" s="8">
        <v>45398</v>
      </c>
      <c r="I7">
        <v>304.18</v>
      </c>
    </row>
    <row r="8" spans="1:12">
      <c r="A8" t="s">
        <v>28</v>
      </c>
      <c r="B8" t="s">
        <v>29</v>
      </c>
      <c r="C8" t="s">
        <v>11</v>
      </c>
      <c r="D8" t="s">
        <v>21</v>
      </c>
      <c r="E8">
        <v>1317.53</v>
      </c>
      <c r="F8">
        <v>12</v>
      </c>
      <c r="G8">
        <v>0.05</v>
      </c>
      <c r="H8" s="8">
        <v>45398</v>
      </c>
      <c r="I8">
        <v>312.91000000000003</v>
      </c>
    </row>
    <row r="9" spans="1:12">
      <c r="A9" t="s">
        <v>30</v>
      </c>
      <c r="B9" t="s">
        <v>31</v>
      </c>
      <c r="C9" t="s">
        <v>18</v>
      </c>
      <c r="D9" t="s">
        <v>27</v>
      </c>
      <c r="E9">
        <v>1074.47</v>
      </c>
      <c r="F9">
        <v>6</v>
      </c>
      <c r="G9">
        <v>0.2</v>
      </c>
      <c r="H9" s="8">
        <v>45401</v>
      </c>
      <c r="I9">
        <v>300.85000000000002</v>
      </c>
    </row>
    <row r="10" spans="1:12">
      <c r="A10" t="s">
        <v>32</v>
      </c>
      <c r="B10" t="s">
        <v>33</v>
      </c>
      <c r="C10" t="s">
        <v>34</v>
      </c>
      <c r="D10" t="s">
        <v>12</v>
      </c>
      <c r="E10">
        <v>501.54</v>
      </c>
      <c r="F10">
        <v>11</v>
      </c>
      <c r="G10">
        <v>0.05</v>
      </c>
      <c r="H10" s="8">
        <v>45401</v>
      </c>
      <c r="I10">
        <v>190.59</v>
      </c>
    </row>
    <row r="11" spans="1:12">
      <c r="A11" t="s">
        <v>35</v>
      </c>
      <c r="B11" t="s">
        <v>36</v>
      </c>
      <c r="C11" t="s">
        <v>34</v>
      </c>
      <c r="D11" t="s">
        <v>15</v>
      </c>
      <c r="E11">
        <v>737.31</v>
      </c>
      <c r="F11">
        <v>2</v>
      </c>
      <c r="G11">
        <v>0.05</v>
      </c>
      <c r="H11" s="8">
        <v>45401</v>
      </c>
      <c r="I11">
        <v>350.22</v>
      </c>
    </row>
    <row r="12" spans="1:12">
      <c r="A12" t="s">
        <v>37</v>
      </c>
      <c r="B12" t="s">
        <v>38</v>
      </c>
      <c r="C12" t="s">
        <v>11</v>
      </c>
      <c r="D12" t="s">
        <v>39</v>
      </c>
      <c r="E12">
        <v>1572.82</v>
      </c>
      <c r="F12">
        <v>6</v>
      </c>
      <c r="G12">
        <v>0.05</v>
      </c>
      <c r="H12" s="8">
        <v>45402</v>
      </c>
      <c r="I12">
        <v>672.38</v>
      </c>
    </row>
    <row r="13" spans="1:12">
      <c r="A13" t="s">
        <v>37</v>
      </c>
      <c r="B13" t="s">
        <v>36</v>
      </c>
      <c r="C13" t="s">
        <v>34</v>
      </c>
      <c r="D13" t="s">
        <v>12</v>
      </c>
      <c r="E13">
        <v>1343.13</v>
      </c>
      <c r="F13">
        <v>14</v>
      </c>
      <c r="G13">
        <v>0.15</v>
      </c>
      <c r="H13" s="8">
        <v>45404</v>
      </c>
      <c r="I13">
        <v>456.66</v>
      </c>
    </row>
    <row r="14" spans="1:12">
      <c r="A14" t="s">
        <v>25</v>
      </c>
      <c r="B14" t="s">
        <v>26</v>
      </c>
      <c r="C14" t="s">
        <v>34</v>
      </c>
      <c r="D14" t="s">
        <v>12</v>
      </c>
      <c r="E14">
        <v>1191.58</v>
      </c>
      <c r="F14">
        <v>14</v>
      </c>
      <c r="G14">
        <v>0.05</v>
      </c>
      <c r="H14" s="8">
        <v>45406</v>
      </c>
      <c r="I14">
        <v>452.8</v>
      </c>
    </row>
    <row r="15" spans="1:12">
      <c r="A15" t="s">
        <v>40</v>
      </c>
      <c r="B15" t="s">
        <v>14</v>
      </c>
      <c r="C15" t="s">
        <v>11</v>
      </c>
      <c r="D15" t="s">
        <v>27</v>
      </c>
      <c r="E15">
        <v>822.28</v>
      </c>
      <c r="F15">
        <v>7</v>
      </c>
      <c r="G15">
        <v>0.05</v>
      </c>
      <c r="H15" s="8">
        <v>45406</v>
      </c>
      <c r="I15">
        <v>273.41000000000003</v>
      </c>
    </row>
    <row r="16" spans="1:12">
      <c r="A16" t="s">
        <v>41</v>
      </c>
      <c r="B16" t="s">
        <v>42</v>
      </c>
      <c r="C16" t="s">
        <v>24</v>
      </c>
      <c r="D16" t="s">
        <v>27</v>
      </c>
      <c r="E16">
        <v>521.66999999999996</v>
      </c>
      <c r="F16">
        <v>15</v>
      </c>
      <c r="G16">
        <v>0.15</v>
      </c>
      <c r="H16" s="8">
        <v>45409</v>
      </c>
      <c r="I16">
        <v>155.19999999999999</v>
      </c>
    </row>
    <row r="17" spans="1:9">
      <c r="A17" t="s">
        <v>19</v>
      </c>
      <c r="B17" t="s">
        <v>43</v>
      </c>
      <c r="C17" t="s">
        <v>20</v>
      </c>
      <c r="D17" t="s">
        <v>21</v>
      </c>
      <c r="E17">
        <v>1502.93</v>
      </c>
      <c r="F17">
        <v>14</v>
      </c>
      <c r="G17">
        <v>0.2</v>
      </c>
      <c r="H17" s="8">
        <v>45410</v>
      </c>
      <c r="I17">
        <v>300.58999999999997</v>
      </c>
    </row>
    <row r="18" spans="1:9">
      <c r="A18" t="s">
        <v>44</v>
      </c>
      <c r="B18" t="s">
        <v>14</v>
      </c>
      <c r="C18" t="s">
        <v>20</v>
      </c>
      <c r="D18" t="s">
        <v>12</v>
      </c>
      <c r="E18">
        <v>877.58</v>
      </c>
      <c r="F18">
        <v>10</v>
      </c>
      <c r="G18">
        <v>0.15</v>
      </c>
      <c r="H18" s="8">
        <v>45411</v>
      </c>
      <c r="I18">
        <v>298.38</v>
      </c>
    </row>
    <row r="19" spans="1:9">
      <c r="A19" t="s">
        <v>28</v>
      </c>
      <c r="B19" t="s">
        <v>45</v>
      </c>
      <c r="C19" t="s">
        <v>11</v>
      </c>
      <c r="D19" t="s">
        <v>12</v>
      </c>
      <c r="E19">
        <v>636.70000000000005</v>
      </c>
      <c r="F19">
        <v>4</v>
      </c>
      <c r="G19">
        <v>0.2</v>
      </c>
      <c r="H19" s="8">
        <v>45411</v>
      </c>
      <c r="I19">
        <v>203.74</v>
      </c>
    </row>
    <row r="20" spans="1:9">
      <c r="A20" t="s">
        <v>46</v>
      </c>
      <c r="B20" t="s">
        <v>47</v>
      </c>
      <c r="C20" t="s">
        <v>11</v>
      </c>
      <c r="D20" t="s">
        <v>12</v>
      </c>
      <c r="E20">
        <v>1506.14</v>
      </c>
      <c r="F20">
        <v>13</v>
      </c>
      <c r="G20">
        <v>0.2</v>
      </c>
      <c r="H20" s="8">
        <v>45412</v>
      </c>
      <c r="I20">
        <v>481.96</v>
      </c>
    </row>
    <row r="21" spans="1:9">
      <c r="A21" t="s">
        <v>30</v>
      </c>
      <c r="B21" t="s">
        <v>31</v>
      </c>
      <c r="C21" t="s">
        <v>34</v>
      </c>
      <c r="D21" t="s">
        <v>21</v>
      </c>
      <c r="E21">
        <v>645.02</v>
      </c>
      <c r="F21">
        <v>4</v>
      </c>
      <c r="G21">
        <v>0</v>
      </c>
      <c r="H21" s="8">
        <v>45414</v>
      </c>
      <c r="I21">
        <v>161.26</v>
      </c>
    </row>
    <row r="22" spans="1:9">
      <c r="A22" t="s">
        <v>25</v>
      </c>
      <c r="B22" t="s">
        <v>48</v>
      </c>
      <c r="C22" t="s">
        <v>20</v>
      </c>
      <c r="D22" t="s">
        <v>15</v>
      </c>
      <c r="E22">
        <v>953.3</v>
      </c>
      <c r="F22">
        <v>11</v>
      </c>
      <c r="G22">
        <v>0</v>
      </c>
      <c r="H22" s="8">
        <v>45415</v>
      </c>
      <c r="I22">
        <v>476.65</v>
      </c>
    </row>
    <row r="23" spans="1:9">
      <c r="A23" t="s">
        <v>49</v>
      </c>
      <c r="B23" t="s">
        <v>14</v>
      </c>
      <c r="C23" t="s">
        <v>24</v>
      </c>
      <c r="D23" t="s">
        <v>21</v>
      </c>
      <c r="E23">
        <v>388.56</v>
      </c>
      <c r="F23">
        <v>14</v>
      </c>
      <c r="G23">
        <v>0.15</v>
      </c>
      <c r="H23" s="8">
        <v>45416</v>
      </c>
      <c r="I23">
        <v>82.57</v>
      </c>
    </row>
    <row r="24" spans="1:9">
      <c r="A24" t="s">
        <v>9</v>
      </c>
      <c r="B24" t="s">
        <v>31</v>
      </c>
      <c r="C24" t="s">
        <v>11</v>
      </c>
      <c r="D24" t="s">
        <v>12</v>
      </c>
      <c r="E24">
        <v>743.17</v>
      </c>
      <c r="F24">
        <v>9</v>
      </c>
      <c r="G24">
        <v>0</v>
      </c>
      <c r="H24" s="8">
        <v>45416</v>
      </c>
      <c r="I24">
        <v>297.27</v>
      </c>
    </row>
    <row r="25" spans="1:9">
      <c r="A25" t="s">
        <v>40</v>
      </c>
      <c r="B25" t="s">
        <v>31</v>
      </c>
      <c r="C25" t="s">
        <v>34</v>
      </c>
      <c r="D25" t="s">
        <v>21</v>
      </c>
      <c r="E25">
        <v>706.37</v>
      </c>
      <c r="F25">
        <v>6</v>
      </c>
      <c r="G25">
        <v>0</v>
      </c>
      <c r="H25" s="8">
        <v>45416</v>
      </c>
      <c r="I25">
        <v>176.59</v>
      </c>
    </row>
    <row r="26" spans="1:9">
      <c r="A26" t="s">
        <v>13</v>
      </c>
      <c r="B26" t="s">
        <v>31</v>
      </c>
      <c r="C26" t="s">
        <v>34</v>
      </c>
      <c r="D26" t="s">
        <v>39</v>
      </c>
      <c r="E26">
        <v>925.31</v>
      </c>
      <c r="F26">
        <v>8</v>
      </c>
      <c r="G26">
        <v>0.1</v>
      </c>
      <c r="H26" s="8">
        <v>45418</v>
      </c>
      <c r="I26">
        <v>374.75</v>
      </c>
    </row>
    <row r="27" spans="1:9">
      <c r="A27" t="s">
        <v>35</v>
      </c>
      <c r="B27" t="s">
        <v>50</v>
      </c>
      <c r="C27" t="s">
        <v>20</v>
      </c>
      <c r="D27" t="s">
        <v>21</v>
      </c>
      <c r="E27">
        <v>1173.1199999999999</v>
      </c>
      <c r="F27">
        <v>18</v>
      </c>
      <c r="G27">
        <v>0</v>
      </c>
      <c r="H27" s="8">
        <v>45418</v>
      </c>
      <c r="I27">
        <v>293.27999999999997</v>
      </c>
    </row>
    <row r="28" spans="1:9">
      <c r="A28" t="s">
        <v>22</v>
      </c>
      <c r="B28" t="s">
        <v>51</v>
      </c>
      <c r="C28" t="s">
        <v>24</v>
      </c>
      <c r="D28" t="s">
        <v>27</v>
      </c>
      <c r="E28">
        <v>675.54</v>
      </c>
      <c r="F28">
        <v>17</v>
      </c>
      <c r="G28">
        <v>0</v>
      </c>
      <c r="H28" s="8">
        <v>45420</v>
      </c>
      <c r="I28">
        <v>236.44</v>
      </c>
    </row>
    <row r="29" spans="1:9">
      <c r="A29" t="s">
        <v>25</v>
      </c>
      <c r="B29" t="s">
        <v>14</v>
      </c>
      <c r="C29" t="s">
        <v>34</v>
      </c>
      <c r="D29" t="s">
        <v>12</v>
      </c>
      <c r="E29">
        <v>939.09</v>
      </c>
      <c r="F29">
        <v>2</v>
      </c>
      <c r="G29">
        <v>0.05</v>
      </c>
      <c r="H29" s="8">
        <v>45422</v>
      </c>
      <c r="I29">
        <v>356.85</v>
      </c>
    </row>
    <row r="30" spans="1:9">
      <c r="A30" t="s">
        <v>52</v>
      </c>
      <c r="B30" t="s">
        <v>53</v>
      </c>
      <c r="C30" t="s">
        <v>18</v>
      </c>
      <c r="D30" t="s">
        <v>39</v>
      </c>
      <c r="E30">
        <v>983.34</v>
      </c>
      <c r="F30">
        <v>19</v>
      </c>
      <c r="G30">
        <v>0.1</v>
      </c>
      <c r="H30" s="8">
        <v>45426</v>
      </c>
      <c r="I30">
        <v>398.25</v>
      </c>
    </row>
    <row r="31" spans="1:9">
      <c r="A31" t="s">
        <v>52</v>
      </c>
      <c r="B31" t="s">
        <v>23</v>
      </c>
      <c r="C31" t="s">
        <v>20</v>
      </c>
      <c r="D31" t="s">
        <v>21</v>
      </c>
      <c r="E31">
        <v>801.21</v>
      </c>
      <c r="F31">
        <v>3</v>
      </c>
      <c r="G31">
        <v>0.2</v>
      </c>
      <c r="H31" s="8">
        <v>45426</v>
      </c>
      <c r="I31">
        <v>160.24</v>
      </c>
    </row>
    <row r="32" spans="1:9">
      <c r="A32" t="s">
        <v>54</v>
      </c>
      <c r="B32" t="s">
        <v>55</v>
      </c>
      <c r="C32" t="s">
        <v>24</v>
      </c>
      <c r="D32" t="s">
        <v>21</v>
      </c>
      <c r="E32">
        <v>1450.71</v>
      </c>
      <c r="F32">
        <v>5</v>
      </c>
      <c r="G32">
        <v>0.1</v>
      </c>
      <c r="H32" s="8">
        <v>45427</v>
      </c>
      <c r="I32">
        <v>326.41000000000003</v>
      </c>
    </row>
    <row r="33" spans="1:9">
      <c r="A33" t="s">
        <v>49</v>
      </c>
      <c r="B33" t="s">
        <v>56</v>
      </c>
      <c r="C33" t="s">
        <v>34</v>
      </c>
      <c r="D33" t="s">
        <v>12</v>
      </c>
      <c r="E33">
        <v>1023.21</v>
      </c>
      <c r="F33">
        <v>18</v>
      </c>
      <c r="G33">
        <v>0.05</v>
      </c>
      <c r="H33" s="8">
        <v>45428</v>
      </c>
      <c r="I33">
        <v>388.82</v>
      </c>
    </row>
    <row r="34" spans="1:9">
      <c r="A34" t="s">
        <v>28</v>
      </c>
      <c r="B34" t="s">
        <v>47</v>
      </c>
      <c r="C34" t="s">
        <v>11</v>
      </c>
      <c r="D34" t="s">
        <v>27</v>
      </c>
      <c r="E34">
        <v>853.72</v>
      </c>
      <c r="F34">
        <v>5</v>
      </c>
      <c r="G34">
        <v>0.15</v>
      </c>
      <c r="H34" s="8">
        <v>45428</v>
      </c>
      <c r="I34">
        <v>253.98</v>
      </c>
    </row>
    <row r="35" spans="1:9">
      <c r="A35" t="s">
        <v>57</v>
      </c>
      <c r="B35" t="s">
        <v>43</v>
      </c>
      <c r="C35" t="s">
        <v>20</v>
      </c>
      <c r="D35" t="s">
        <v>21</v>
      </c>
      <c r="E35">
        <v>967.89</v>
      </c>
      <c r="F35">
        <v>10</v>
      </c>
      <c r="G35">
        <v>0.1</v>
      </c>
      <c r="H35" s="8">
        <v>45429</v>
      </c>
      <c r="I35">
        <v>217.78</v>
      </c>
    </row>
    <row r="36" spans="1:9">
      <c r="A36" t="s">
        <v>58</v>
      </c>
      <c r="B36" t="s">
        <v>53</v>
      </c>
      <c r="C36" t="s">
        <v>24</v>
      </c>
      <c r="D36" t="s">
        <v>39</v>
      </c>
      <c r="E36">
        <v>1200.9000000000001</v>
      </c>
      <c r="F36">
        <v>14</v>
      </c>
      <c r="G36">
        <v>0.05</v>
      </c>
      <c r="H36" s="8">
        <v>45429</v>
      </c>
      <c r="I36">
        <v>513.38</v>
      </c>
    </row>
    <row r="37" spans="1:9">
      <c r="A37" t="s">
        <v>13</v>
      </c>
      <c r="B37" t="s">
        <v>26</v>
      </c>
      <c r="C37" t="s">
        <v>11</v>
      </c>
      <c r="D37" t="s">
        <v>12</v>
      </c>
      <c r="E37">
        <v>472.38</v>
      </c>
      <c r="F37">
        <v>12</v>
      </c>
      <c r="G37">
        <v>0.2</v>
      </c>
      <c r="H37" s="8">
        <v>45429</v>
      </c>
      <c r="I37">
        <v>151.16</v>
      </c>
    </row>
    <row r="38" spans="1:9">
      <c r="A38" t="s">
        <v>9</v>
      </c>
      <c r="B38" t="s">
        <v>55</v>
      </c>
      <c r="C38" t="s">
        <v>18</v>
      </c>
      <c r="D38" t="s">
        <v>39</v>
      </c>
      <c r="E38">
        <v>840.92</v>
      </c>
      <c r="F38">
        <v>9</v>
      </c>
      <c r="G38">
        <v>0.05</v>
      </c>
      <c r="H38" s="8">
        <v>45429</v>
      </c>
      <c r="I38">
        <v>359.49</v>
      </c>
    </row>
    <row r="39" spans="1:9">
      <c r="A39" t="s">
        <v>52</v>
      </c>
      <c r="B39" t="s">
        <v>48</v>
      </c>
      <c r="C39" t="s">
        <v>34</v>
      </c>
      <c r="D39" t="s">
        <v>27</v>
      </c>
      <c r="E39">
        <v>1410.06</v>
      </c>
      <c r="F39">
        <v>11</v>
      </c>
      <c r="G39">
        <v>0.05</v>
      </c>
      <c r="H39" s="8">
        <v>45434</v>
      </c>
      <c r="I39">
        <v>468.84</v>
      </c>
    </row>
    <row r="40" spans="1:9">
      <c r="A40" t="s">
        <v>44</v>
      </c>
      <c r="B40" t="s">
        <v>59</v>
      </c>
      <c r="C40" t="s">
        <v>34</v>
      </c>
      <c r="D40" t="s">
        <v>27</v>
      </c>
      <c r="E40">
        <v>773.09</v>
      </c>
      <c r="F40">
        <v>13</v>
      </c>
      <c r="G40">
        <v>0.15</v>
      </c>
      <c r="H40" s="8">
        <v>45434</v>
      </c>
      <c r="I40">
        <v>229.99</v>
      </c>
    </row>
    <row r="41" spans="1:9">
      <c r="A41" t="s">
        <v>60</v>
      </c>
      <c r="B41" t="s">
        <v>61</v>
      </c>
      <c r="C41" t="s">
        <v>18</v>
      </c>
      <c r="D41" t="s">
        <v>12</v>
      </c>
      <c r="E41">
        <v>580.42999999999995</v>
      </c>
      <c r="F41">
        <v>19</v>
      </c>
      <c r="G41">
        <v>0.15</v>
      </c>
      <c r="H41" s="8">
        <v>45435</v>
      </c>
      <c r="I41">
        <v>197.35</v>
      </c>
    </row>
    <row r="42" spans="1:9">
      <c r="A42" t="s">
        <v>19</v>
      </c>
      <c r="B42" t="s">
        <v>42</v>
      </c>
      <c r="C42" t="s">
        <v>20</v>
      </c>
      <c r="D42" t="s">
        <v>12</v>
      </c>
      <c r="E42">
        <v>1151.21</v>
      </c>
      <c r="F42">
        <v>15</v>
      </c>
      <c r="G42">
        <v>0.1</v>
      </c>
      <c r="H42" s="8">
        <v>45445</v>
      </c>
      <c r="I42">
        <v>414.44</v>
      </c>
    </row>
    <row r="43" spans="1:9">
      <c r="A43" t="s">
        <v>52</v>
      </c>
      <c r="B43" t="s">
        <v>23</v>
      </c>
      <c r="C43" t="s">
        <v>34</v>
      </c>
      <c r="D43" t="s">
        <v>39</v>
      </c>
      <c r="E43">
        <v>1025.98</v>
      </c>
      <c r="F43">
        <v>5</v>
      </c>
      <c r="G43">
        <v>0.2</v>
      </c>
      <c r="H43" s="8">
        <v>45447</v>
      </c>
      <c r="I43">
        <v>369.35</v>
      </c>
    </row>
    <row r="44" spans="1:9">
      <c r="A44" t="s">
        <v>40</v>
      </c>
      <c r="B44" t="s">
        <v>56</v>
      </c>
      <c r="C44" t="s">
        <v>18</v>
      </c>
      <c r="D44" t="s">
        <v>39</v>
      </c>
      <c r="E44">
        <v>556.41999999999996</v>
      </c>
      <c r="F44">
        <v>11</v>
      </c>
      <c r="G44">
        <v>0.15</v>
      </c>
      <c r="H44" s="8">
        <v>45447</v>
      </c>
      <c r="I44">
        <v>212.83</v>
      </c>
    </row>
    <row r="45" spans="1:9">
      <c r="A45" t="s">
        <v>57</v>
      </c>
      <c r="B45" t="s">
        <v>23</v>
      </c>
      <c r="C45" t="s">
        <v>34</v>
      </c>
      <c r="D45" t="s">
        <v>12</v>
      </c>
      <c r="E45">
        <v>840.85</v>
      </c>
      <c r="F45">
        <v>19</v>
      </c>
      <c r="G45">
        <v>0.1</v>
      </c>
      <c r="H45" s="8">
        <v>45448</v>
      </c>
      <c r="I45">
        <v>302.70999999999998</v>
      </c>
    </row>
    <row r="46" spans="1:9">
      <c r="A46" t="s">
        <v>30</v>
      </c>
      <c r="B46" t="s">
        <v>61</v>
      </c>
      <c r="C46" t="s">
        <v>24</v>
      </c>
      <c r="D46" t="s">
        <v>27</v>
      </c>
      <c r="E46">
        <v>1227.25</v>
      </c>
      <c r="F46">
        <v>12</v>
      </c>
      <c r="G46">
        <v>0.15</v>
      </c>
      <c r="H46" s="8">
        <v>45448</v>
      </c>
      <c r="I46">
        <v>365.11</v>
      </c>
    </row>
    <row r="47" spans="1:9">
      <c r="A47" t="s">
        <v>16</v>
      </c>
      <c r="B47" t="s">
        <v>62</v>
      </c>
      <c r="C47" t="s">
        <v>34</v>
      </c>
      <c r="D47" t="s">
        <v>21</v>
      </c>
      <c r="E47">
        <v>856.7</v>
      </c>
      <c r="F47">
        <v>2</v>
      </c>
      <c r="G47">
        <v>0</v>
      </c>
      <c r="H47" s="8">
        <v>45449</v>
      </c>
      <c r="I47">
        <v>214.18</v>
      </c>
    </row>
    <row r="48" spans="1:9">
      <c r="A48" t="s">
        <v>54</v>
      </c>
      <c r="B48" t="s">
        <v>56</v>
      </c>
      <c r="C48" t="s">
        <v>34</v>
      </c>
      <c r="D48" t="s">
        <v>39</v>
      </c>
      <c r="E48">
        <v>1225.42</v>
      </c>
      <c r="F48">
        <v>8</v>
      </c>
      <c r="G48">
        <v>0.15</v>
      </c>
      <c r="H48" s="8">
        <v>45449</v>
      </c>
      <c r="I48">
        <v>468.72</v>
      </c>
    </row>
    <row r="49" spans="1:9">
      <c r="A49" t="s">
        <v>63</v>
      </c>
      <c r="B49" t="s">
        <v>31</v>
      </c>
      <c r="C49" t="s">
        <v>24</v>
      </c>
      <c r="D49" t="s">
        <v>39</v>
      </c>
      <c r="E49">
        <v>1001.57</v>
      </c>
      <c r="F49">
        <v>12</v>
      </c>
      <c r="G49">
        <v>0</v>
      </c>
      <c r="H49" s="8">
        <v>45450</v>
      </c>
      <c r="I49">
        <v>450.71</v>
      </c>
    </row>
    <row r="50" spans="1:9">
      <c r="A50" t="s">
        <v>57</v>
      </c>
      <c r="B50" t="s">
        <v>26</v>
      </c>
      <c r="C50" t="s">
        <v>18</v>
      </c>
      <c r="D50" t="s">
        <v>27</v>
      </c>
      <c r="E50">
        <v>1186.8499999999999</v>
      </c>
      <c r="F50">
        <v>19</v>
      </c>
      <c r="G50">
        <v>0.2</v>
      </c>
      <c r="H50" s="8">
        <v>45451</v>
      </c>
      <c r="I50">
        <v>332.32</v>
      </c>
    </row>
    <row r="51" spans="1:9">
      <c r="A51" t="s">
        <v>44</v>
      </c>
      <c r="B51" t="s">
        <v>51</v>
      </c>
      <c r="C51" t="s">
        <v>20</v>
      </c>
      <c r="D51" t="s">
        <v>21</v>
      </c>
      <c r="E51">
        <v>775.45</v>
      </c>
      <c r="F51">
        <v>6</v>
      </c>
      <c r="G51">
        <v>0.1</v>
      </c>
      <c r="H51" s="8">
        <v>45457</v>
      </c>
      <c r="I51">
        <v>174.48</v>
      </c>
    </row>
    <row r="52" spans="1:9">
      <c r="A52" t="s">
        <v>25</v>
      </c>
      <c r="B52" t="s">
        <v>33</v>
      </c>
      <c r="C52" t="s">
        <v>20</v>
      </c>
      <c r="D52" t="s">
        <v>21</v>
      </c>
      <c r="E52">
        <v>1021.47</v>
      </c>
      <c r="F52">
        <v>6</v>
      </c>
      <c r="G52">
        <v>0.05</v>
      </c>
      <c r="H52" s="8">
        <v>45461</v>
      </c>
      <c r="I52">
        <v>242.6</v>
      </c>
    </row>
    <row r="53" spans="1:9">
      <c r="A53" t="s">
        <v>58</v>
      </c>
      <c r="B53" t="s">
        <v>23</v>
      </c>
      <c r="C53" t="s">
        <v>20</v>
      </c>
      <c r="D53" t="s">
        <v>15</v>
      </c>
      <c r="E53">
        <v>1226.6199999999999</v>
      </c>
      <c r="F53">
        <v>7</v>
      </c>
      <c r="G53">
        <v>0.1</v>
      </c>
      <c r="H53" s="8">
        <v>45463</v>
      </c>
      <c r="I53">
        <v>551.98</v>
      </c>
    </row>
    <row r="54" spans="1:9">
      <c r="A54" t="s">
        <v>22</v>
      </c>
      <c r="B54" t="s">
        <v>64</v>
      </c>
      <c r="C54" t="s">
        <v>20</v>
      </c>
      <c r="D54" t="s">
        <v>27</v>
      </c>
      <c r="E54">
        <v>1086.93</v>
      </c>
      <c r="F54">
        <v>2</v>
      </c>
      <c r="G54">
        <v>0</v>
      </c>
      <c r="H54" s="8">
        <v>45464</v>
      </c>
      <c r="I54">
        <v>380.43</v>
      </c>
    </row>
    <row r="55" spans="1:9">
      <c r="A55" t="s">
        <v>65</v>
      </c>
      <c r="B55" t="s">
        <v>48</v>
      </c>
      <c r="C55" t="s">
        <v>11</v>
      </c>
      <c r="D55" t="s">
        <v>12</v>
      </c>
      <c r="E55">
        <v>942.9</v>
      </c>
      <c r="F55">
        <v>18</v>
      </c>
      <c r="G55">
        <v>0.1</v>
      </c>
      <c r="H55" s="8">
        <v>45466</v>
      </c>
      <c r="I55">
        <v>339.44</v>
      </c>
    </row>
    <row r="56" spans="1:9">
      <c r="A56" t="s">
        <v>32</v>
      </c>
      <c r="B56" t="s">
        <v>38</v>
      </c>
      <c r="C56" t="s">
        <v>24</v>
      </c>
      <c r="D56" t="s">
        <v>21</v>
      </c>
      <c r="E56">
        <v>818.8</v>
      </c>
      <c r="F56">
        <v>15</v>
      </c>
      <c r="G56">
        <v>0.15</v>
      </c>
      <c r="H56" s="8">
        <v>45468</v>
      </c>
      <c r="I56">
        <v>173.99</v>
      </c>
    </row>
    <row r="57" spans="1:9">
      <c r="A57" t="s">
        <v>19</v>
      </c>
      <c r="B57" t="s">
        <v>14</v>
      </c>
      <c r="C57" t="s">
        <v>20</v>
      </c>
      <c r="D57" t="s">
        <v>27</v>
      </c>
      <c r="E57">
        <v>919.04</v>
      </c>
      <c r="F57">
        <v>10</v>
      </c>
      <c r="G57">
        <v>0.2</v>
      </c>
      <c r="H57" s="8">
        <v>45468</v>
      </c>
      <c r="I57">
        <v>257.33</v>
      </c>
    </row>
    <row r="58" spans="1:9">
      <c r="A58" t="s">
        <v>22</v>
      </c>
      <c r="B58" t="s">
        <v>66</v>
      </c>
      <c r="C58" t="s">
        <v>34</v>
      </c>
      <c r="D58" t="s">
        <v>12</v>
      </c>
      <c r="E58">
        <v>973.26</v>
      </c>
      <c r="F58">
        <v>11</v>
      </c>
      <c r="G58">
        <v>0</v>
      </c>
      <c r="H58" s="8">
        <v>45470</v>
      </c>
      <c r="I58">
        <v>389.3</v>
      </c>
    </row>
    <row r="59" spans="1:9">
      <c r="A59" t="s">
        <v>41</v>
      </c>
      <c r="B59" t="s">
        <v>64</v>
      </c>
      <c r="C59" t="s">
        <v>24</v>
      </c>
      <c r="D59" t="s">
        <v>21</v>
      </c>
      <c r="E59">
        <v>741.61</v>
      </c>
      <c r="F59">
        <v>1</v>
      </c>
      <c r="G59">
        <v>0.2</v>
      </c>
      <c r="H59" s="8">
        <v>45471</v>
      </c>
      <c r="I59">
        <v>148.32</v>
      </c>
    </row>
    <row r="60" spans="1:9">
      <c r="A60" t="s">
        <v>67</v>
      </c>
      <c r="B60" t="s">
        <v>38</v>
      </c>
      <c r="C60" t="s">
        <v>24</v>
      </c>
      <c r="D60" t="s">
        <v>12</v>
      </c>
      <c r="E60">
        <v>1248.82</v>
      </c>
      <c r="F60">
        <v>2</v>
      </c>
      <c r="G60">
        <v>0.1</v>
      </c>
      <c r="H60" s="8">
        <v>45473</v>
      </c>
      <c r="I60">
        <v>449.58</v>
      </c>
    </row>
    <row r="61" spans="1:9">
      <c r="A61" t="s">
        <v>13</v>
      </c>
      <c r="B61" t="s">
        <v>59</v>
      </c>
      <c r="C61" t="s">
        <v>11</v>
      </c>
      <c r="D61" t="s">
        <v>15</v>
      </c>
      <c r="E61">
        <v>1360.36</v>
      </c>
      <c r="F61">
        <v>17</v>
      </c>
      <c r="G61">
        <v>0</v>
      </c>
      <c r="H61" s="8">
        <v>45473</v>
      </c>
      <c r="I61">
        <v>680.18</v>
      </c>
    </row>
    <row r="62" spans="1:9">
      <c r="A62" t="s">
        <v>57</v>
      </c>
      <c r="B62" t="s">
        <v>31</v>
      </c>
      <c r="C62" t="s">
        <v>18</v>
      </c>
      <c r="D62" t="s">
        <v>12</v>
      </c>
      <c r="E62">
        <v>1383.3</v>
      </c>
      <c r="F62">
        <v>8</v>
      </c>
      <c r="G62">
        <v>0.1</v>
      </c>
      <c r="H62" s="8">
        <v>45478</v>
      </c>
      <c r="I62">
        <v>497.99</v>
      </c>
    </row>
    <row r="63" spans="1:9">
      <c r="A63" t="s">
        <v>35</v>
      </c>
      <c r="B63" t="s">
        <v>55</v>
      </c>
      <c r="C63" t="s">
        <v>34</v>
      </c>
      <c r="D63" t="s">
        <v>39</v>
      </c>
      <c r="E63">
        <v>488.99</v>
      </c>
      <c r="F63">
        <v>9</v>
      </c>
      <c r="G63">
        <v>0</v>
      </c>
      <c r="H63" s="8">
        <v>45479</v>
      </c>
      <c r="I63">
        <v>220.05</v>
      </c>
    </row>
    <row r="64" spans="1:9">
      <c r="A64" t="s">
        <v>30</v>
      </c>
      <c r="B64" t="s">
        <v>31</v>
      </c>
      <c r="C64" t="s">
        <v>18</v>
      </c>
      <c r="D64" t="s">
        <v>27</v>
      </c>
      <c r="E64">
        <v>933.71</v>
      </c>
      <c r="F64">
        <v>17</v>
      </c>
      <c r="G64">
        <v>0.1</v>
      </c>
      <c r="H64" s="8">
        <v>45481</v>
      </c>
      <c r="I64">
        <v>294.12</v>
      </c>
    </row>
    <row r="65" spans="1:9">
      <c r="A65" t="s">
        <v>67</v>
      </c>
      <c r="B65" t="s">
        <v>10</v>
      </c>
      <c r="C65" t="s">
        <v>11</v>
      </c>
      <c r="D65" t="s">
        <v>21</v>
      </c>
      <c r="E65">
        <v>1005.53</v>
      </c>
      <c r="F65">
        <v>17</v>
      </c>
      <c r="G65">
        <v>0.2</v>
      </c>
      <c r="H65" s="8">
        <v>45481</v>
      </c>
      <c r="I65">
        <v>201.11</v>
      </c>
    </row>
    <row r="66" spans="1:9">
      <c r="A66" t="s">
        <v>41</v>
      </c>
      <c r="B66" t="s">
        <v>61</v>
      </c>
      <c r="C66" t="s">
        <v>20</v>
      </c>
      <c r="D66" t="s">
        <v>21</v>
      </c>
      <c r="E66">
        <v>1100.0999999999999</v>
      </c>
      <c r="F66">
        <v>5</v>
      </c>
      <c r="G66">
        <v>0.05</v>
      </c>
      <c r="H66" s="8">
        <v>45482</v>
      </c>
      <c r="I66">
        <v>261.27</v>
      </c>
    </row>
    <row r="67" spans="1:9">
      <c r="A67" t="s">
        <v>67</v>
      </c>
      <c r="B67" t="s">
        <v>23</v>
      </c>
      <c r="C67" t="s">
        <v>24</v>
      </c>
      <c r="D67" t="s">
        <v>27</v>
      </c>
      <c r="E67">
        <v>1034.7</v>
      </c>
      <c r="F67">
        <v>15</v>
      </c>
      <c r="G67">
        <v>0.15</v>
      </c>
      <c r="H67" s="8">
        <v>45487</v>
      </c>
      <c r="I67">
        <v>307.82</v>
      </c>
    </row>
    <row r="68" spans="1:9">
      <c r="A68" t="s">
        <v>65</v>
      </c>
      <c r="B68" t="s">
        <v>31</v>
      </c>
      <c r="C68" t="s">
        <v>20</v>
      </c>
      <c r="D68" t="s">
        <v>12</v>
      </c>
      <c r="E68">
        <v>876.44</v>
      </c>
      <c r="F68">
        <v>12</v>
      </c>
      <c r="G68">
        <v>0.05</v>
      </c>
      <c r="H68" s="8">
        <v>45488</v>
      </c>
      <c r="I68">
        <v>333.05</v>
      </c>
    </row>
    <row r="69" spans="1:9">
      <c r="A69" t="s">
        <v>68</v>
      </c>
      <c r="B69" t="s">
        <v>55</v>
      </c>
      <c r="C69" t="s">
        <v>11</v>
      </c>
      <c r="D69" t="s">
        <v>27</v>
      </c>
      <c r="E69">
        <v>1371.34</v>
      </c>
      <c r="F69">
        <v>5</v>
      </c>
      <c r="G69">
        <v>0.05</v>
      </c>
      <c r="H69" s="8">
        <v>45488</v>
      </c>
      <c r="I69">
        <v>455.97</v>
      </c>
    </row>
    <row r="70" spans="1:9">
      <c r="A70" t="s">
        <v>57</v>
      </c>
      <c r="B70" t="s">
        <v>47</v>
      </c>
      <c r="C70" t="s">
        <v>24</v>
      </c>
      <c r="D70" t="s">
        <v>21</v>
      </c>
      <c r="E70">
        <v>1020.26</v>
      </c>
      <c r="F70">
        <v>11</v>
      </c>
      <c r="G70">
        <v>0.05</v>
      </c>
      <c r="H70" s="8">
        <v>45494</v>
      </c>
      <c r="I70">
        <v>242.31</v>
      </c>
    </row>
    <row r="71" spans="1:9">
      <c r="A71" t="s">
        <v>44</v>
      </c>
      <c r="B71" t="s">
        <v>10</v>
      </c>
      <c r="C71" t="s">
        <v>34</v>
      </c>
      <c r="D71" t="s">
        <v>39</v>
      </c>
      <c r="E71">
        <v>804.81</v>
      </c>
      <c r="F71">
        <v>1</v>
      </c>
      <c r="G71">
        <v>0.05</v>
      </c>
      <c r="H71" s="8">
        <v>45502</v>
      </c>
      <c r="I71">
        <v>344.06</v>
      </c>
    </row>
    <row r="72" spans="1:9">
      <c r="A72" t="s">
        <v>22</v>
      </c>
      <c r="B72" t="s">
        <v>55</v>
      </c>
      <c r="C72" t="s">
        <v>34</v>
      </c>
      <c r="D72" t="s">
        <v>21</v>
      </c>
      <c r="E72">
        <v>608.66</v>
      </c>
      <c r="F72">
        <v>1</v>
      </c>
      <c r="G72">
        <v>0.05</v>
      </c>
      <c r="H72" s="8">
        <v>45503</v>
      </c>
      <c r="I72">
        <v>144.56</v>
      </c>
    </row>
    <row r="73" spans="1:9">
      <c r="A73" t="s">
        <v>68</v>
      </c>
      <c r="B73" t="s">
        <v>69</v>
      </c>
      <c r="C73" t="s">
        <v>20</v>
      </c>
      <c r="D73" t="s">
        <v>39</v>
      </c>
      <c r="E73">
        <v>981.2</v>
      </c>
      <c r="F73">
        <v>19</v>
      </c>
      <c r="G73">
        <v>0</v>
      </c>
      <c r="H73" s="8">
        <v>45504</v>
      </c>
      <c r="I73">
        <v>441.54</v>
      </c>
    </row>
    <row r="74" spans="1:9">
      <c r="A74" t="s">
        <v>70</v>
      </c>
      <c r="B74" t="s">
        <v>55</v>
      </c>
      <c r="C74" t="s">
        <v>18</v>
      </c>
      <c r="D74" t="s">
        <v>21</v>
      </c>
      <c r="E74">
        <v>539.77</v>
      </c>
      <c r="F74">
        <v>10</v>
      </c>
      <c r="G74">
        <v>0.15</v>
      </c>
      <c r="H74" s="8">
        <v>45509</v>
      </c>
      <c r="I74">
        <v>114.7</v>
      </c>
    </row>
    <row r="75" spans="1:9">
      <c r="A75" t="s">
        <v>13</v>
      </c>
      <c r="B75" t="s">
        <v>71</v>
      </c>
      <c r="C75" t="s">
        <v>20</v>
      </c>
      <c r="D75" t="s">
        <v>12</v>
      </c>
      <c r="E75">
        <v>804.45</v>
      </c>
      <c r="F75">
        <v>5</v>
      </c>
      <c r="G75">
        <v>0.2</v>
      </c>
      <c r="H75" s="8">
        <v>45509</v>
      </c>
      <c r="I75">
        <v>257.42</v>
      </c>
    </row>
    <row r="76" spans="1:9">
      <c r="A76" t="s">
        <v>70</v>
      </c>
      <c r="B76" t="s">
        <v>38</v>
      </c>
      <c r="C76" t="s">
        <v>11</v>
      </c>
      <c r="D76" t="s">
        <v>21</v>
      </c>
      <c r="E76">
        <v>1526.6</v>
      </c>
      <c r="F76">
        <v>13</v>
      </c>
      <c r="G76">
        <v>0.2</v>
      </c>
      <c r="H76" s="8">
        <v>45512</v>
      </c>
      <c r="I76">
        <v>305.32</v>
      </c>
    </row>
    <row r="77" spans="1:9">
      <c r="A77" t="s">
        <v>13</v>
      </c>
      <c r="B77" t="s">
        <v>29</v>
      </c>
      <c r="C77" t="s">
        <v>11</v>
      </c>
      <c r="D77" t="s">
        <v>21</v>
      </c>
      <c r="E77">
        <v>1215.26</v>
      </c>
      <c r="F77">
        <v>5</v>
      </c>
      <c r="G77">
        <v>0.15</v>
      </c>
      <c r="H77" s="8">
        <v>45513</v>
      </c>
      <c r="I77">
        <v>258.24</v>
      </c>
    </row>
    <row r="78" spans="1:9">
      <c r="A78" t="s">
        <v>19</v>
      </c>
      <c r="B78" t="s">
        <v>53</v>
      </c>
      <c r="C78" t="s">
        <v>34</v>
      </c>
      <c r="D78" t="s">
        <v>27</v>
      </c>
      <c r="E78">
        <v>1261.3399999999999</v>
      </c>
      <c r="F78">
        <v>3</v>
      </c>
      <c r="G78">
        <v>0</v>
      </c>
      <c r="H78" s="8">
        <v>45519</v>
      </c>
      <c r="I78">
        <v>441.47</v>
      </c>
    </row>
    <row r="79" spans="1:9">
      <c r="A79" t="s">
        <v>72</v>
      </c>
      <c r="B79" t="s">
        <v>45</v>
      </c>
      <c r="C79" t="s">
        <v>24</v>
      </c>
      <c r="D79" t="s">
        <v>27</v>
      </c>
      <c r="E79">
        <v>518.07000000000005</v>
      </c>
      <c r="F79">
        <v>7</v>
      </c>
      <c r="G79">
        <v>0.05</v>
      </c>
      <c r="H79" s="8">
        <v>45522</v>
      </c>
      <c r="I79">
        <v>172.26</v>
      </c>
    </row>
    <row r="80" spans="1:9">
      <c r="A80" t="s">
        <v>30</v>
      </c>
      <c r="B80" t="s">
        <v>29</v>
      </c>
      <c r="C80" t="s">
        <v>11</v>
      </c>
      <c r="D80" t="s">
        <v>39</v>
      </c>
      <c r="E80">
        <v>1111.3399999999999</v>
      </c>
      <c r="F80">
        <v>1</v>
      </c>
      <c r="G80">
        <v>0</v>
      </c>
      <c r="H80" s="8">
        <v>45523</v>
      </c>
      <c r="I80">
        <v>500.1</v>
      </c>
    </row>
    <row r="81" spans="1:9">
      <c r="A81" t="s">
        <v>22</v>
      </c>
      <c r="B81" t="s">
        <v>31</v>
      </c>
      <c r="C81" t="s">
        <v>18</v>
      </c>
      <c r="D81" t="s">
        <v>15</v>
      </c>
      <c r="E81">
        <v>1291.47</v>
      </c>
      <c r="F81">
        <v>18</v>
      </c>
      <c r="G81">
        <v>0.1</v>
      </c>
      <c r="H81" s="8">
        <v>45526</v>
      </c>
      <c r="I81">
        <v>581.16</v>
      </c>
    </row>
    <row r="82" spans="1:9">
      <c r="A82" t="s">
        <v>25</v>
      </c>
      <c r="B82" t="s">
        <v>55</v>
      </c>
      <c r="C82" t="s">
        <v>24</v>
      </c>
      <c r="D82" t="s">
        <v>12</v>
      </c>
      <c r="E82">
        <v>679.71</v>
      </c>
      <c r="F82">
        <v>19</v>
      </c>
      <c r="G82">
        <v>0</v>
      </c>
      <c r="H82" s="8">
        <v>45534</v>
      </c>
      <c r="I82">
        <v>271.88</v>
      </c>
    </row>
    <row r="83" spans="1:9">
      <c r="A83" t="s">
        <v>68</v>
      </c>
      <c r="B83" t="s">
        <v>33</v>
      </c>
      <c r="C83" t="s">
        <v>18</v>
      </c>
      <c r="D83" t="s">
        <v>27</v>
      </c>
      <c r="E83">
        <v>1143.69</v>
      </c>
      <c r="F83">
        <v>17</v>
      </c>
      <c r="G83">
        <v>0</v>
      </c>
      <c r="H83" s="8">
        <v>45534</v>
      </c>
      <c r="I83">
        <v>400.29</v>
      </c>
    </row>
    <row r="84" spans="1:9">
      <c r="A84" t="s">
        <v>52</v>
      </c>
      <c r="B84" t="s">
        <v>50</v>
      </c>
      <c r="C84" t="s">
        <v>34</v>
      </c>
      <c r="D84" t="s">
        <v>21</v>
      </c>
      <c r="E84">
        <v>790.08</v>
      </c>
      <c r="F84">
        <v>7</v>
      </c>
      <c r="G84">
        <v>0.1</v>
      </c>
      <c r="H84" s="8">
        <v>45536</v>
      </c>
      <c r="I84">
        <v>177.77</v>
      </c>
    </row>
    <row r="85" spans="1:9">
      <c r="A85" t="s">
        <v>19</v>
      </c>
      <c r="B85" t="s">
        <v>48</v>
      </c>
      <c r="C85" t="s">
        <v>34</v>
      </c>
      <c r="D85" t="s">
        <v>12</v>
      </c>
      <c r="E85">
        <v>1070.68</v>
      </c>
      <c r="F85">
        <v>7</v>
      </c>
      <c r="G85">
        <v>0.05</v>
      </c>
      <c r="H85" s="8">
        <v>45536</v>
      </c>
      <c r="I85">
        <v>406.86</v>
      </c>
    </row>
    <row r="86" spans="1:9">
      <c r="A86" t="s">
        <v>58</v>
      </c>
      <c r="B86" t="s">
        <v>36</v>
      </c>
      <c r="C86" t="s">
        <v>11</v>
      </c>
      <c r="D86" t="s">
        <v>15</v>
      </c>
      <c r="E86">
        <v>1168.8900000000001</v>
      </c>
      <c r="F86">
        <v>4</v>
      </c>
      <c r="G86">
        <v>0.1</v>
      </c>
      <c r="H86" s="8">
        <v>45544</v>
      </c>
      <c r="I86">
        <v>526</v>
      </c>
    </row>
    <row r="87" spans="1:9">
      <c r="A87" t="s">
        <v>67</v>
      </c>
      <c r="B87" t="s">
        <v>10</v>
      </c>
      <c r="C87" t="s">
        <v>20</v>
      </c>
      <c r="D87" t="s">
        <v>21</v>
      </c>
      <c r="E87">
        <v>1335.87</v>
      </c>
      <c r="F87">
        <v>17</v>
      </c>
      <c r="G87">
        <v>0</v>
      </c>
      <c r="H87" s="8">
        <v>45544</v>
      </c>
      <c r="I87">
        <v>333.97</v>
      </c>
    </row>
    <row r="88" spans="1:9">
      <c r="A88" t="s">
        <v>40</v>
      </c>
      <c r="B88" t="s">
        <v>55</v>
      </c>
      <c r="C88" t="s">
        <v>18</v>
      </c>
      <c r="D88" t="s">
        <v>27</v>
      </c>
      <c r="E88">
        <v>873.7</v>
      </c>
      <c r="F88">
        <v>9</v>
      </c>
      <c r="G88">
        <v>0</v>
      </c>
      <c r="H88" s="8">
        <v>45546</v>
      </c>
      <c r="I88">
        <v>305.8</v>
      </c>
    </row>
    <row r="89" spans="1:9">
      <c r="A89" t="s">
        <v>72</v>
      </c>
      <c r="B89" t="s">
        <v>64</v>
      </c>
      <c r="C89" t="s">
        <v>11</v>
      </c>
      <c r="D89" t="s">
        <v>39</v>
      </c>
      <c r="E89">
        <v>1443.98</v>
      </c>
      <c r="F89">
        <v>19</v>
      </c>
      <c r="G89">
        <v>0</v>
      </c>
      <c r="H89" s="8">
        <v>45547</v>
      </c>
      <c r="I89">
        <v>649.79</v>
      </c>
    </row>
    <row r="90" spans="1:9">
      <c r="A90" t="s">
        <v>40</v>
      </c>
      <c r="B90" t="s">
        <v>23</v>
      </c>
      <c r="C90" t="s">
        <v>18</v>
      </c>
      <c r="D90" t="s">
        <v>39</v>
      </c>
      <c r="E90">
        <v>1154.33</v>
      </c>
      <c r="F90">
        <v>11</v>
      </c>
      <c r="G90">
        <v>0.15</v>
      </c>
      <c r="H90" s="8">
        <v>45549</v>
      </c>
      <c r="I90">
        <v>441.53</v>
      </c>
    </row>
    <row r="91" spans="1:9">
      <c r="A91" t="s">
        <v>49</v>
      </c>
      <c r="B91" t="s">
        <v>50</v>
      </c>
      <c r="C91" t="s">
        <v>20</v>
      </c>
      <c r="D91" t="s">
        <v>12</v>
      </c>
      <c r="E91">
        <v>1264.49</v>
      </c>
      <c r="F91">
        <v>16</v>
      </c>
      <c r="G91">
        <v>0.05</v>
      </c>
      <c r="H91" s="8">
        <v>45549</v>
      </c>
      <c r="I91">
        <v>480.51</v>
      </c>
    </row>
    <row r="92" spans="1:9">
      <c r="A92" t="s">
        <v>25</v>
      </c>
      <c r="B92" t="s">
        <v>66</v>
      </c>
      <c r="C92" t="s">
        <v>11</v>
      </c>
      <c r="D92" t="s">
        <v>27</v>
      </c>
      <c r="E92">
        <v>1101.55</v>
      </c>
      <c r="F92">
        <v>4</v>
      </c>
      <c r="G92">
        <v>0.1</v>
      </c>
      <c r="H92" s="8">
        <v>45551</v>
      </c>
      <c r="I92">
        <v>346.99</v>
      </c>
    </row>
    <row r="93" spans="1:9">
      <c r="A93" t="s">
        <v>73</v>
      </c>
      <c r="B93" t="s">
        <v>14</v>
      </c>
      <c r="C93" t="s">
        <v>20</v>
      </c>
      <c r="D93" t="s">
        <v>27</v>
      </c>
      <c r="E93">
        <v>727.73</v>
      </c>
      <c r="F93">
        <v>1</v>
      </c>
      <c r="G93">
        <v>0.1</v>
      </c>
      <c r="H93" s="8">
        <v>45552</v>
      </c>
      <c r="I93">
        <v>229.23</v>
      </c>
    </row>
    <row r="94" spans="1:9">
      <c r="A94" t="s">
        <v>74</v>
      </c>
      <c r="B94" t="s">
        <v>38</v>
      </c>
      <c r="C94" t="s">
        <v>18</v>
      </c>
      <c r="D94" t="s">
        <v>39</v>
      </c>
      <c r="E94">
        <v>875.41</v>
      </c>
      <c r="F94">
        <v>13</v>
      </c>
      <c r="G94">
        <v>0.15</v>
      </c>
      <c r="H94" s="8">
        <v>45552</v>
      </c>
      <c r="I94">
        <v>334.84</v>
      </c>
    </row>
    <row r="95" spans="1:9">
      <c r="A95" t="s">
        <v>67</v>
      </c>
      <c r="B95" t="s">
        <v>23</v>
      </c>
      <c r="C95" t="s">
        <v>11</v>
      </c>
      <c r="D95" t="s">
        <v>21</v>
      </c>
      <c r="E95">
        <v>1158.94</v>
      </c>
      <c r="F95">
        <v>19</v>
      </c>
      <c r="G95">
        <v>0.2</v>
      </c>
      <c r="H95" s="8">
        <v>45553</v>
      </c>
      <c r="I95">
        <v>231.79</v>
      </c>
    </row>
    <row r="96" spans="1:9">
      <c r="A96" t="s">
        <v>75</v>
      </c>
      <c r="B96" t="s">
        <v>47</v>
      </c>
      <c r="C96" t="s">
        <v>20</v>
      </c>
      <c r="D96" t="s">
        <v>12</v>
      </c>
      <c r="E96">
        <v>966.3</v>
      </c>
      <c r="F96">
        <v>2</v>
      </c>
      <c r="G96">
        <v>0.15</v>
      </c>
      <c r="H96" s="8">
        <v>45557</v>
      </c>
      <c r="I96">
        <v>328.54</v>
      </c>
    </row>
    <row r="97" spans="1:9">
      <c r="A97" t="s">
        <v>68</v>
      </c>
      <c r="B97" t="s">
        <v>17</v>
      </c>
      <c r="C97" t="s">
        <v>20</v>
      </c>
      <c r="D97" t="s">
        <v>12</v>
      </c>
      <c r="E97">
        <v>917.48</v>
      </c>
      <c r="F97">
        <v>6</v>
      </c>
      <c r="G97">
        <v>0</v>
      </c>
      <c r="H97" s="8">
        <v>45558</v>
      </c>
      <c r="I97">
        <v>366.99</v>
      </c>
    </row>
    <row r="98" spans="1:9">
      <c r="A98" t="s">
        <v>41</v>
      </c>
      <c r="B98" t="s">
        <v>61</v>
      </c>
      <c r="C98" t="s">
        <v>11</v>
      </c>
      <c r="D98" t="s">
        <v>27</v>
      </c>
      <c r="E98">
        <v>1172.97</v>
      </c>
      <c r="F98">
        <v>7</v>
      </c>
      <c r="G98">
        <v>0.15</v>
      </c>
      <c r="H98" s="8">
        <v>45559</v>
      </c>
      <c r="I98">
        <v>348.96</v>
      </c>
    </row>
    <row r="99" spans="1:9">
      <c r="A99" t="s">
        <v>57</v>
      </c>
      <c r="B99" t="s">
        <v>23</v>
      </c>
      <c r="C99" t="s">
        <v>24</v>
      </c>
      <c r="D99" t="s">
        <v>15</v>
      </c>
      <c r="E99">
        <v>1205.82</v>
      </c>
      <c r="F99">
        <v>11</v>
      </c>
      <c r="G99">
        <v>0.1</v>
      </c>
      <c r="H99" s="8">
        <v>45559</v>
      </c>
      <c r="I99">
        <v>542.62</v>
      </c>
    </row>
    <row r="100" spans="1:9">
      <c r="A100" t="s">
        <v>16</v>
      </c>
      <c r="B100" t="s">
        <v>64</v>
      </c>
      <c r="C100" t="s">
        <v>11</v>
      </c>
      <c r="D100" t="s">
        <v>39</v>
      </c>
      <c r="E100">
        <v>826.93</v>
      </c>
      <c r="F100">
        <v>10</v>
      </c>
      <c r="G100">
        <v>0.2</v>
      </c>
      <c r="H100" s="8">
        <v>45564</v>
      </c>
      <c r="I100">
        <v>297.69</v>
      </c>
    </row>
    <row r="101" spans="1:9">
      <c r="A101" t="s">
        <v>67</v>
      </c>
      <c r="B101" t="s">
        <v>23</v>
      </c>
      <c r="C101" t="s">
        <v>34</v>
      </c>
      <c r="D101" t="s">
        <v>15</v>
      </c>
      <c r="E101">
        <v>902.19</v>
      </c>
      <c r="F101">
        <v>12</v>
      </c>
      <c r="G101">
        <v>0</v>
      </c>
      <c r="H101" s="8">
        <v>45564</v>
      </c>
      <c r="I101">
        <v>451.1</v>
      </c>
    </row>
    <row r="102" spans="1:9">
      <c r="A102" t="s">
        <v>74</v>
      </c>
      <c r="B102" t="s">
        <v>38</v>
      </c>
      <c r="C102" t="s">
        <v>24</v>
      </c>
      <c r="D102" t="s">
        <v>12</v>
      </c>
      <c r="E102">
        <v>585.97</v>
      </c>
      <c r="F102">
        <v>17</v>
      </c>
      <c r="G102">
        <v>0.1</v>
      </c>
      <c r="H102" s="8">
        <v>45565</v>
      </c>
      <c r="I102">
        <v>210.95</v>
      </c>
    </row>
    <row r="103" spans="1:9">
      <c r="A103" t="s">
        <v>60</v>
      </c>
      <c r="B103" t="s">
        <v>26</v>
      </c>
      <c r="C103" t="s">
        <v>24</v>
      </c>
      <c r="D103" t="s">
        <v>15</v>
      </c>
      <c r="E103">
        <v>990.19</v>
      </c>
      <c r="F103">
        <v>8</v>
      </c>
      <c r="G103">
        <v>0.1</v>
      </c>
      <c r="H103" s="8">
        <v>45565</v>
      </c>
      <c r="I103">
        <v>445.59</v>
      </c>
    </row>
    <row r="104" spans="1:9">
      <c r="A104" t="s">
        <v>44</v>
      </c>
      <c r="B104" t="s">
        <v>56</v>
      </c>
      <c r="C104" t="s">
        <v>34</v>
      </c>
      <c r="D104" t="s">
        <v>21</v>
      </c>
      <c r="E104">
        <v>1014.09</v>
      </c>
      <c r="F104">
        <v>13</v>
      </c>
      <c r="G104">
        <v>0.2</v>
      </c>
      <c r="H104" s="8">
        <v>45567</v>
      </c>
      <c r="I104">
        <v>202.82</v>
      </c>
    </row>
    <row r="105" spans="1:9">
      <c r="A105" t="s">
        <v>13</v>
      </c>
      <c r="B105" t="s">
        <v>48</v>
      </c>
      <c r="C105" t="s">
        <v>24</v>
      </c>
      <c r="D105" t="s">
        <v>21</v>
      </c>
      <c r="E105">
        <v>925.29</v>
      </c>
      <c r="F105">
        <v>17</v>
      </c>
      <c r="G105">
        <v>0</v>
      </c>
      <c r="H105" s="8">
        <v>45570</v>
      </c>
      <c r="I105">
        <v>231.32</v>
      </c>
    </row>
    <row r="106" spans="1:9">
      <c r="A106" t="s">
        <v>54</v>
      </c>
      <c r="B106" t="s">
        <v>47</v>
      </c>
      <c r="C106" t="s">
        <v>18</v>
      </c>
      <c r="D106" t="s">
        <v>27</v>
      </c>
      <c r="E106">
        <v>1286.54</v>
      </c>
      <c r="F106">
        <v>8</v>
      </c>
      <c r="G106">
        <v>0</v>
      </c>
      <c r="H106" s="8">
        <v>45575</v>
      </c>
      <c r="I106">
        <v>450.29</v>
      </c>
    </row>
    <row r="107" spans="1:9">
      <c r="A107" t="s">
        <v>37</v>
      </c>
      <c r="B107" t="s">
        <v>64</v>
      </c>
      <c r="C107" t="s">
        <v>20</v>
      </c>
      <c r="D107" t="s">
        <v>12</v>
      </c>
      <c r="E107">
        <v>961.62</v>
      </c>
      <c r="F107">
        <v>8</v>
      </c>
      <c r="G107">
        <v>0.2</v>
      </c>
      <c r="H107" s="8">
        <v>45577</v>
      </c>
      <c r="I107">
        <v>307.72000000000003</v>
      </c>
    </row>
    <row r="108" spans="1:9">
      <c r="A108" t="s">
        <v>44</v>
      </c>
      <c r="B108" t="s">
        <v>23</v>
      </c>
      <c r="C108" t="s">
        <v>18</v>
      </c>
      <c r="D108" t="s">
        <v>12</v>
      </c>
      <c r="E108">
        <v>1081.1400000000001</v>
      </c>
      <c r="F108">
        <v>19</v>
      </c>
      <c r="G108">
        <v>0.15</v>
      </c>
      <c r="H108" s="8">
        <v>45577</v>
      </c>
      <c r="I108">
        <v>367.59</v>
      </c>
    </row>
    <row r="109" spans="1:9">
      <c r="A109" t="s">
        <v>58</v>
      </c>
      <c r="B109" t="s">
        <v>23</v>
      </c>
      <c r="C109" t="s">
        <v>11</v>
      </c>
      <c r="D109" t="s">
        <v>15</v>
      </c>
      <c r="E109">
        <v>1923.66</v>
      </c>
      <c r="F109">
        <v>9</v>
      </c>
      <c r="G109">
        <v>0.2</v>
      </c>
      <c r="H109" s="8">
        <v>45580</v>
      </c>
      <c r="I109">
        <v>769.46</v>
      </c>
    </row>
    <row r="110" spans="1:9">
      <c r="A110" t="s">
        <v>54</v>
      </c>
      <c r="B110" t="s">
        <v>66</v>
      </c>
      <c r="C110" t="s">
        <v>34</v>
      </c>
      <c r="D110" t="s">
        <v>15</v>
      </c>
      <c r="E110">
        <v>728.71</v>
      </c>
      <c r="F110">
        <v>14</v>
      </c>
      <c r="G110">
        <v>0.1</v>
      </c>
      <c r="H110" s="8">
        <v>45581</v>
      </c>
      <c r="I110">
        <v>327.92</v>
      </c>
    </row>
    <row r="111" spans="1:9">
      <c r="A111" t="s">
        <v>9</v>
      </c>
      <c r="B111" t="s">
        <v>33</v>
      </c>
      <c r="C111" t="s">
        <v>34</v>
      </c>
      <c r="D111" t="s">
        <v>15</v>
      </c>
      <c r="E111">
        <v>1301.8900000000001</v>
      </c>
      <c r="F111">
        <v>7</v>
      </c>
      <c r="G111">
        <v>0.15</v>
      </c>
      <c r="H111" s="8">
        <v>45581</v>
      </c>
      <c r="I111">
        <v>553.29999999999995</v>
      </c>
    </row>
    <row r="112" spans="1:9">
      <c r="A112" t="s">
        <v>70</v>
      </c>
      <c r="B112" t="s">
        <v>66</v>
      </c>
      <c r="C112" t="s">
        <v>18</v>
      </c>
      <c r="D112" t="s">
        <v>12</v>
      </c>
      <c r="E112">
        <v>980.18</v>
      </c>
      <c r="F112">
        <v>16</v>
      </c>
      <c r="G112">
        <v>0.1</v>
      </c>
      <c r="H112" s="8">
        <v>45582</v>
      </c>
      <c r="I112">
        <v>352.86</v>
      </c>
    </row>
    <row r="113" spans="1:9">
      <c r="A113" t="s">
        <v>74</v>
      </c>
      <c r="B113" t="s">
        <v>23</v>
      </c>
      <c r="C113" t="s">
        <v>11</v>
      </c>
      <c r="D113" t="s">
        <v>15</v>
      </c>
      <c r="E113">
        <v>697.57</v>
      </c>
      <c r="F113">
        <v>17</v>
      </c>
      <c r="G113">
        <v>0.1</v>
      </c>
      <c r="H113" s="8">
        <v>45584</v>
      </c>
      <c r="I113">
        <v>313.91000000000003</v>
      </c>
    </row>
    <row r="114" spans="1:9">
      <c r="A114" t="s">
        <v>46</v>
      </c>
      <c r="B114" t="s">
        <v>71</v>
      </c>
      <c r="C114" t="s">
        <v>11</v>
      </c>
      <c r="D114" t="s">
        <v>27</v>
      </c>
      <c r="E114">
        <v>1193.6099999999999</v>
      </c>
      <c r="F114">
        <v>1</v>
      </c>
      <c r="G114">
        <v>0.15</v>
      </c>
      <c r="H114" s="8">
        <v>45584</v>
      </c>
      <c r="I114">
        <v>355.1</v>
      </c>
    </row>
    <row r="115" spans="1:9">
      <c r="A115" t="s">
        <v>32</v>
      </c>
      <c r="B115" t="s">
        <v>38</v>
      </c>
      <c r="C115" t="s">
        <v>20</v>
      </c>
      <c r="D115" t="s">
        <v>21</v>
      </c>
      <c r="E115">
        <v>771.02</v>
      </c>
      <c r="F115">
        <v>1</v>
      </c>
      <c r="G115">
        <v>0</v>
      </c>
      <c r="H115" s="8">
        <v>45585</v>
      </c>
      <c r="I115">
        <v>192.76</v>
      </c>
    </row>
    <row r="116" spans="1:9">
      <c r="A116" t="s">
        <v>67</v>
      </c>
      <c r="B116" t="s">
        <v>69</v>
      </c>
      <c r="C116" t="s">
        <v>24</v>
      </c>
      <c r="D116" t="s">
        <v>15</v>
      </c>
      <c r="E116">
        <v>661.09</v>
      </c>
      <c r="F116">
        <v>1</v>
      </c>
      <c r="G116">
        <v>0.2</v>
      </c>
      <c r="H116" s="8">
        <v>45593</v>
      </c>
      <c r="I116">
        <v>264.44</v>
      </c>
    </row>
    <row r="117" spans="1:9">
      <c r="A117" t="s">
        <v>13</v>
      </c>
      <c r="B117" t="s">
        <v>55</v>
      </c>
      <c r="C117" t="s">
        <v>11</v>
      </c>
      <c r="D117" t="s">
        <v>21</v>
      </c>
      <c r="E117">
        <v>688.83</v>
      </c>
      <c r="F117">
        <v>15</v>
      </c>
      <c r="G117">
        <v>0</v>
      </c>
      <c r="H117" s="8">
        <v>45595</v>
      </c>
      <c r="I117">
        <v>172.21</v>
      </c>
    </row>
    <row r="118" spans="1:9">
      <c r="A118" t="s">
        <v>73</v>
      </c>
      <c r="B118" t="s">
        <v>29</v>
      </c>
      <c r="C118" t="s">
        <v>34</v>
      </c>
      <c r="D118" t="s">
        <v>12</v>
      </c>
      <c r="E118">
        <v>1249.0999999999999</v>
      </c>
      <c r="F118">
        <v>4</v>
      </c>
      <c r="G118">
        <v>0.05</v>
      </c>
      <c r="H118" s="8">
        <v>45597</v>
      </c>
      <c r="I118">
        <v>474.66</v>
      </c>
    </row>
    <row r="119" spans="1:9">
      <c r="A119" t="s">
        <v>44</v>
      </c>
      <c r="B119" t="s">
        <v>23</v>
      </c>
      <c r="C119" t="s">
        <v>18</v>
      </c>
      <c r="D119" t="s">
        <v>39</v>
      </c>
      <c r="E119">
        <v>1014.22</v>
      </c>
      <c r="F119">
        <v>14</v>
      </c>
      <c r="G119">
        <v>0.05</v>
      </c>
      <c r="H119" s="8">
        <v>45599</v>
      </c>
      <c r="I119">
        <v>433.58</v>
      </c>
    </row>
    <row r="120" spans="1:9">
      <c r="A120" t="s">
        <v>54</v>
      </c>
      <c r="B120" t="s">
        <v>48</v>
      </c>
      <c r="C120" t="s">
        <v>18</v>
      </c>
      <c r="D120" t="s">
        <v>12</v>
      </c>
      <c r="E120">
        <v>1010.58</v>
      </c>
      <c r="F120">
        <v>2</v>
      </c>
      <c r="G120">
        <v>0.15</v>
      </c>
      <c r="H120" s="8">
        <v>45605</v>
      </c>
      <c r="I120">
        <v>343.6</v>
      </c>
    </row>
    <row r="121" spans="1:9">
      <c r="A121" t="s">
        <v>30</v>
      </c>
      <c r="B121" t="s">
        <v>59</v>
      </c>
      <c r="C121" t="s">
        <v>24</v>
      </c>
      <c r="D121" t="s">
        <v>27</v>
      </c>
      <c r="E121">
        <v>957.29</v>
      </c>
      <c r="F121">
        <v>4</v>
      </c>
      <c r="G121">
        <v>0.05</v>
      </c>
      <c r="H121" s="8">
        <v>45605</v>
      </c>
      <c r="I121">
        <v>318.3</v>
      </c>
    </row>
    <row r="122" spans="1:9">
      <c r="A122" t="s">
        <v>28</v>
      </c>
      <c r="B122" t="s">
        <v>45</v>
      </c>
      <c r="C122" t="s">
        <v>24</v>
      </c>
      <c r="D122" t="s">
        <v>27</v>
      </c>
      <c r="E122">
        <v>1077.92</v>
      </c>
      <c r="F122">
        <v>3</v>
      </c>
      <c r="G122">
        <v>0.05</v>
      </c>
      <c r="H122" s="8">
        <v>45608</v>
      </c>
      <c r="I122">
        <v>358.41</v>
      </c>
    </row>
    <row r="123" spans="1:9">
      <c r="A123" t="s">
        <v>52</v>
      </c>
      <c r="B123" t="s">
        <v>50</v>
      </c>
      <c r="C123" t="s">
        <v>20</v>
      </c>
      <c r="D123" t="s">
        <v>15</v>
      </c>
      <c r="E123">
        <v>1163.01</v>
      </c>
      <c r="F123">
        <v>5</v>
      </c>
      <c r="G123">
        <v>0</v>
      </c>
      <c r="H123" s="8">
        <v>45611</v>
      </c>
      <c r="I123">
        <v>581.5</v>
      </c>
    </row>
    <row r="124" spans="1:9">
      <c r="A124" t="s">
        <v>54</v>
      </c>
      <c r="B124" t="s">
        <v>45</v>
      </c>
      <c r="C124" t="s">
        <v>18</v>
      </c>
      <c r="D124" t="s">
        <v>39</v>
      </c>
      <c r="E124">
        <v>1014.56</v>
      </c>
      <c r="F124">
        <v>10</v>
      </c>
      <c r="G124">
        <v>0.1</v>
      </c>
      <c r="H124" s="8">
        <v>45612</v>
      </c>
      <c r="I124">
        <v>410.9</v>
      </c>
    </row>
    <row r="125" spans="1:9">
      <c r="A125" t="s">
        <v>9</v>
      </c>
      <c r="B125" t="s">
        <v>17</v>
      </c>
      <c r="C125" t="s">
        <v>20</v>
      </c>
      <c r="D125" t="s">
        <v>21</v>
      </c>
      <c r="E125">
        <v>718.04</v>
      </c>
      <c r="F125">
        <v>14</v>
      </c>
      <c r="G125">
        <v>0</v>
      </c>
      <c r="H125" s="8">
        <v>45613</v>
      </c>
      <c r="I125">
        <v>179.51</v>
      </c>
    </row>
    <row r="126" spans="1:9">
      <c r="A126" t="s">
        <v>72</v>
      </c>
      <c r="B126" t="s">
        <v>17</v>
      </c>
      <c r="C126" t="s">
        <v>34</v>
      </c>
      <c r="D126" t="s">
        <v>15</v>
      </c>
      <c r="E126">
        <v>1277.8499999999999</v>
      </c>
      <c r="F126">
        <v>18</v>
      </c>
      <c r="G126">
        <v>0.2</v>
      </c>
      <c r="H126" s="8">
        <v>45613</v>
      </c>
      <c r="I126">
        <v>511.14</v>
      </c>
    </row>
    <row r="127" spans="1:9">
      <c r="A127" t="s">
        <v>70</v>
      </c>
      <c r="B127" t="s">
        <v>23</v>
      </c>
      <c r="C127" t="s">
        <v>24</v>
      </c>
      <c r="D127" t="s">
        <v>21</v>
      </c>
      <c r="E127">
        <v>706.73</v>
      </c>
      <c r="F127">
        <v>1</v>
      </c>
      <c r="G127">
        <v>0.15</v>
      </c>
      <c r="H127" s="8">
        <v>45613</v>
      </c>
      <c r="I127">
        <v>150.18</v>
      </c>
    </row>
    <row r="128" spans="1:9">
      <c r="A128" t="s">
        <v>65</v>
      </c>
      <c r="B128" t="s">
        <v>50</v>
      </c>
      <c r="C128" t="s">
        <v>18</v>
      </c>
      <c r="D128" t="s">
        <v>21</v>
      </c>
      <c r="E128">
        <v>1410.59</v>
      </c>
      <c r="F128">
        <v>15</v>
      </c>
      <c r="G128">
        <v>0</v>
      </c>
      <c r="H128" s="8">
        <v>45615</v>
      </c>
      <c r="I128">
        <v>352.65</v>
      </c>
    </row>
    <row r="129" spans="1:9">
      <c r="A129" t="s">
        <v>32</v>
      </c>
      <c r="B129" t="s">
        <v>61</v>
      </c>
      <c r="C129" t="s">
        <v>20</v>
      </c>
      <c r="D129" t="s">
        <v>27</v>
      </c>
      <c r="E129">
        <v>1350.33</v>
      </c>
      <c r="F129">
        <v>10</v>
      </c>
      <c r="G129">
        <v>0</v>
      </c>
      <c r="H129" s="8">
        <v>45615</v>
      </c>
      <c r="I129">
        <v>472.62</v>
      </c>
    </row>
    <row r="130" spans="1:9">
      <c r="A130" t="s">
        <v>41</v>
      </c>
      <c r="B130" t="s">
        <v>45</v>
      </c>
      <c r="C130" t="s">
        <v>18</v>
      </c>
      <c r="D130" t="s">
        <v>21</v>
      </c>
      <c r="E130">
        <v>919.18</v>
      </c>
      <c r="F130">
        <v>4</v>
      </c>
      <c r="G130">
        <v>0.15</v>
      </c>
      <c r="H130" s="8">
        <v>45615</v>
      </c>
      <c r="I130">
        <v>195.33</v>
      </c>
    </row>
    <row r="131" spans="1:9">
      <c r="A131" t="s">
        <v>74</v>
      </c>
      <c r="B131" t="s">
        <v>23</v>
      </c>
      <c r="C131" t="s">
        <v>11</v>
      </c>
      <c r="D131" t="s">
        <v>21</v>
      </c>
      <c r="E131">
        <v>258.51</v>
      </c>
      <c r="F131">
        <v>19</v>
      </c>
      <c r="G131">
        <v>0</v>
      </c>
      <c r="H131" s="8">
        <v>45616</v>
      </c>
      <c r="I131">
        <v>64.63</v>
      </c>
    </row>
    <row r="132" spans="1:9">
      <c r="A132" t="s">
        <v>63</v>
      </c>
      <c r="B132" t="s">
        <v>61</v>
      </c>
      <c r="C132" t="s">
        <v>18</v>
      </c>
      <c r="D132" t="s">
        <v>12</v>
      </c>
      <c r="E132">
        <v>1213.48</v>
      </c>
      <c r="F132">
        <v>5</v>
      </c>
      <c r="G132">
        <v>0.05</v>
      </c>
      <c r="H132" s="8">
        <v>45616</v>
      </c>
      <c r="I132">
        <v>461.12</v>
      </c>
    </row>
    <row r="133" spans="1:9">
      <c r="A133" t="s">
        <v>57</v>
      </c>
      <c r="B133" t="s">
        <v>38</v>
      </c>
      <c r="C133" t="s">
        <v>34</v>
      </c>
      <c r="D133" t="s">
        <v>12</v>
      </c>
      <c r="E133">
        <v>1150.28</v>
      </c>
      <c r="F133">
        <v>8</v>
      </c>
      <c r="G133">
        <v>0.05</v>
      </c>
      <c r="H133" s="8">
        <v>45622</v>
      </c>
      <c r="I133">
        <v>437.11</v>
      </c>
    </row>
    <row r="134" spans="1:9">
      <c r="A134" t="s">
        <v>37</v>
      </c>
      <c r="B134" t="s">
        <v>71</v>
      </c>
      <c r="C134" t="s">
        <v>20</v>
      </c>
      <c r="D134" t="s">
        <v>27</v>
      </c>
      <c r="E134">
        <v>853.86</v>
      </c>
      <c r="F134">
        <v>8</v>
      </c>
      <c r="G134">
        <v>0.1</v>
      </c>
      <c r="H134" s="8">
        <v>45622</v>
      </c>
      <c r="I134">
        <v>268.97000000000003</v>
      </c>
    </row>
    <row r="135" spans="1:9">
      <c r="A135" t="s">
        <v>75</v>
      </c>
      <c r="B135" t="s">
        <v>45</v>
      </c>
      <c r="C135" t="s">
        <v>20</v>
      </c>
      <c r="D135" t="s">
        <v>21</v>
      </c>
      <c r="E135">
        <v>1061.04</v>
      </c>
      <c r="F135">
        <v>1</v>
      </c>
      <c r="G135">
        <v>0</v>
      </c>
      <c r="H135" s="8">
        <v>45624</v>
      </c>
      <c r="I135">
        <v>265.26</v>
      </c>
    </row>
    <row r="136" spans="1:9">
      <c r="A136" t="s">
        <v>28</v>
      </c>
      <c r="B136" t="s">
        <v>43</v>
      </c>
      <c r="C136" t="s">
        <v>11</v>
      </c>
      <c r="D136" t="s">
        <v>21</v>
      </c>
      <c r="E136">
        <v>894.55</v>
      </c>
      <c r="F136">
        <v>19</v>
      </c>
      <c r="G136">
        <v>0.2</v>
      </c>
      <c r="H136" s="8">
        <v>45625</v>
      </c>
      <c r="I136">
        <v>178.91</v>
      </c>
    </row>
    <row r="137" spans="1:9">
      <c r="A137" t="s">
        <v>25</v>
      </c>
      <c r="B137" t="s">
        <v>38</v>
      </c>
      <c r="C137" t="s">
        <v>24</v>
      </c>
      <c r="D137" t="s">
        <v>39</v>
      </c>
      <c r="E137">
        <v>833.91</v>
      </c>
      <c r="F137">
        <v>3</v>
      </c>
      <c r="G137">
        <v>0.05</v>
      </c>
      <c r="H137" s="8">
        <v>45626</v>
      </c>
      <c r="I137">
        <v>356.5</v>
      </c>
    </row>
    <row r="138" spans="1:9">
      <c r="A138" t="s">
        <v>58</v>
      </c>
      <c r="B138" t="s">
        <v>71</v>
      </c>
      <c r="C138" t="s">
        <v>11</v>
      </c>
      <c r="D138" t="s">
        <v>27</v>
      </c>
      <c r="E138">
        <v>820.19</v>
      </c>
      <c r="F138">
        <v>4</v>
      </c>
      <c r="G138">
        <v>0.2</v>
      </c>
      <c r="H138" s="8">
        <v>45630</v>
      </c>
      <c r="I138">
        <v>229.65</v>
      </c>
    </row>
    <row r="139" spans="1:9">
      <c r="A139" t="s">
        <v>58</v>
      </c>
      <c r="B139" t="s">
        <v>38</v>
      </c>
      <c r="C139" t="s">
        <v>34</v>
      </c>
      <c r="D139" t="s">
        <v>21</v>
      </c>
      <c r="E139">
        <v>511.74</v>
      </c>
      <c r="F139">
        <v>8</v>
      </c>
      <c r="G139">
        <v>0.05</v>
      </c>
      <c r="H139" s="8">
        <v>45631</v>
      </c>
      <c r="I139">
        <v>121.54</v>
      </c>
    </row>
    <row r="140" spans="1:9">
      <c r="A140" t="s">
        <v>65</v>
      </c>
      <c r="B140" t="s">
        <v>61</v>
      </c>
      <c r="C140" t="s">
        <v>20</v>
      </c>
      <c r="D140" t="s">
        <v>27</v>
      </c>
      <c r="E140">
        <v>806.03</v>
      </c>
      <c r="F140">
        <v>19</v>
      </c>
      <c r="G140">
        <v>0.05</v>
      </c>
      <c r="H140" s="8">
        <v>45638</v>
      </c>
      <c r="I140">
        <v>268</v>
      </c>
    </row>
    <row r="141" spans="1:9">
      <c r="A141" t="s">
        <v>28</v>
      </c>
      <c r="B141" t="s">
        <v>26</v>
      </c>
      <c r="C141" t="s">
        <v>34</v>
      </c>
      <c r="D141" t="s">
        <v>27</v>
      </c>
      <c r="E141">
        <v>1432.47</v>
      </c>
      <c r="F141">
        <v>16</v>
      </c>
      <c r="G141">
        <v>0.15</v>
      </c>
      <c r="H141" s="8">
        <v>45640</v>
      </c>
      <c r="I141">
        <v>426.16</v>
      </c>
    </row>
    <row r="142" spans="1:9">
      <c r="A142" t="s">
        <v>74</v>
      </c>
      <c r="B142" t="s">
        <v>29</v>
      </c>
      <c r="C142" t="s">
        <v>34</v>
      </c>
      <c r="D142" t="s">
        <v>21</v>
      </c>
      <c r="E142">
        <v>1488.58</v>
      </c>
      <c r="F142">
        <v>10</v>
      </c>
      <c r="G142">
        <v>0.15</v>
      </c>
      <c r="H142" s="8">
        <v>45640</v>
      </c>
      <c r="I142">
        <v>316.32</v>
      </c>
    </row>
    <row r="143" spans="1:9">
      <c r="A143" t="s">
        <v>30</v>
      </c>
      <c r="B143" t="s">
        <v>66</v>
      </c>
      <c r="C143" t="s">
        <v>18</v>
      </c>
      <c r="D143" t="s">
        <v>12</v>
      </c>
      <c r="E143">
        <v>1231.26</v>
      </c>
      <c r="F143">
        <v>9</v>
      </c>
      <c r="G143">
        <v>0</v>
      </c>
      <c r="H143" s="8">
        <v>45646</v>
      </c>
      <c r="I143">
        <v>492.5</v>
      </c>
    </row>
    <row r="144" spans="1:9">
      <c r="A144" t="s">
        <v>30</v>
      </c>
      <c r="B144" t="s">
        <v>43</v>
      </c>
      <c r="C144" t="s">
        <v>11</v>
      </c>
      <c r="D144" t="s">
        <v>21</v>
      </c>
      <c r="E144">
        <v>1161.67</v>
      </c>
      <c r="F144">
        <v>19</v>
      </c>
      <c r="G144">
        <v>0.2</v>
      </c>
      <c r="H144" s="8">
        <v>45647</v>
      </c>
      <c r="I144">
        <v>232.33</v>
      </c>
    </row>
    <row r="145" spans="1:9">
      <c r="A145" t="s">
        <v>49</v>
      </c>
      <c r="B145" t="s">
        <v>45</v>
      </c>
      <c r="C145" t="s">
        <v>34</v>
      </c>
      <c r="D145" t="s">
        <v>39</v>
      </c>
      <c r="E145">
        <v>388.23</v>
      </c>
      <c r="F145">
        <v>16</v>
      </c>
      <c r="G145">
        <v>0.05</v>
      </c>
      <c r="H145" s="8">
        <v>45650</v>
      </c>
      <c r="I145">
        <v>165.97</v>
      </c>
    </row>
    <row r="146" spans="1:9">
      <c r="A146" t="s">
        <v>72</v>
      </c>
      <c r="B146" t="s">
        <v>31</v>
      </c>
      <c r="C146" t="s">
        <v>24</v>
      </c>
      <c r="D146" t="s">
        <v>15</v>
      </c>
      <c r="E146">
        <v>1589.42</v>
      </c>
      <c r="F146">
        <v>6</v>
      </c>
      <c r="G146">
        <v>0.15</v>
      </c>
      <c r="H146" s="8">
        <v>45651</v>
      </c>
      <c r="I146">
        <v>675.5</v>
      </c>
    </row>
    <row r="147" spans="1:9">
      <c r="A147" t="s">
        <v>28</v>
      </c>
      <c r="B147" t="s">
        <v>71</v>
      </c>
      <c r="C147" t="s">
        <v>24</v>
      </c>
      <c r="D147" t="s">
        <v>15</v>
      </c>
      <c r="E147">
        <v>336.66</v>
      </c>
      <c r="F147">
        <v>13</v>
      </c>
      <c r="G147">
        <v>0.2</v>
      </c>
      <c r="H147" s="8">
        <v>45651</v>
      </c>
      <c r="I147">
        <v>134.66</v>
      </c>
    </row>
    <row r="148" spans="1:9">
      <c r="A148" t="s">
        <v>49</v>
      </c>
      <c r="B148" t="s">
        <v>23</v>
      </c>
      <c r="C148" t="s">
        <v>11</v>
      </c>
      <c r="D148" t="s">
        <v>12</v>
      </c>
      <c r="E148">
        <v>1353.79</v>
      </c>
      <c r="F148">
        <v>14</v>
      </c>
      <c r="G148">
        <v>0.1</v>
      </c>
      <c r="H148" s="8">
        <v>45656</v>
      </c>
      <c r="I148">
        <v>487.36</v>
      </c>
    </row>
    <row r="149" spans="1:9">
      <c r="A149" t="s">
        <v>63</v>
      </c>
      <c r="B149" t="s">
        <v>69</v>
      </c>
      <c r="C149" t="s">
        <v>34</v>
      </c>
      <c r="D149" t="s">
        <v>15</v>
      </c>
      <c r="E149">
        <v>662.61</v>
      </c>
      <c r="F149">
        <v>11</v>
      </c>
      <c r="G149">
        <v>0.05</v>
      </c>
      <c r="H149" s="8">
        <v>45658</v>
      </c>
      <c r="I149">
        <v>314.74</v>
      </c>
    </row>
    <row r="150" spans="1:9">
      <c r="A150" t="s">
        <v>52</v>
      </c>
      <c r="B150" t="s">
        <v>48</v>
      </c>
      <c r="C150" t="s">
        <v>24</v>
      </c>
      <c r="D150" t="s">
        <v>39</v>
      </c>
      <c r="E150">
        <v>309.42</v>
      </c>
      <c r="F150">
        <v>1</v>
      </c>
      <c r="G150">
        <v>0.2</v>
      </c>
      <c r="H150" s="8">
        <v>45658</v>
      </c>
      <c r="I150">
        <v>111.39</v>
      </c>
    </row>
    <row r="151" spans="1:9">
      <c r="A151" t="s">
        <v>63</v>
      </c>
      <c r="B151" t="s">
        <v>29</v>
      </c>
      <c r="C151" t="s">
        <v>24</v>
      </c>
      <c r="D151" t="s">
        <v>12</v>
      </c>
      <c r="E151">
        <v>884.63</v>
      </c>
      <c r="F151">
        <v>18</v>
      </c>
      <c r="G151">
        <v>0.1</v>
      </c>
      <c r="H151" s="8">
        <v>45659</v>
      </c>
      <c r="I151">
        <v>318.47000000000003</v>
      </c>
    </row>
    <row r="152" spans="1:9">
      <c r="A152" t="s">
        <v>52</v>
      </c>
      <c r="B152" t="s">
        <v>23</v>
      </c>
      <c r="C152" t="s">
        <v>34</v>
      </c>
      <c r="D152" t="s">
        <v>39</v>
      </c>
      <c r="E152">
        <v>745.05</v>
      </c>
      <c r="F152">
        <v>10</v>
      </c>
      <c r="G152">
        <v>0.1</v>
      </c>
      <c r="H152" s="8">
        <v>45660</v>
      </c>
      <c r="I152">
        <v>301.75</v>
      </c>
    </row>
    <row r="153" spans="1:9">
      <c r="A153" t="s">
        <v>60</v>
      </c>
      <c r="B153" t="s">
        <v>17</v>
      </c>
      <c r="C153" t="s">
        <v>20</v>
      </c>
      <c r="D153" t="s">
        <v>15</v>
      </c>
      <c r="E153">
        <v>870.23</v>
      </c>
      <c r="F153">
        <v>5</v>
      </c>
      <c r="G153">
        <v>0.05</v>
      </c>
      <c r="H153" s="8">
        <v>45660</v>
      </c>
      <c r="I153">
        <v>413.36</v>
      </c>
    </row>
    <row r="154" spans="1:9">
      <c r="A154" t="s">
        <v>35</v>
      </c>
      <c r="B154" t="s">
        <v>29</v>
      </c>
      <c r="C154" t="s">
        <v>11</v>
      </c>
      <c r="D154" t="s">
        <v>27</v>
      </c>
      <c r="E154">
        <v>862.19</v>
      </c>
      <c r="F154">
        <v>18</v>
      </c>
      <c r="G154">
        <v>0.05</v>
      </c>
      <c r="H154" s="8">
        <v>45663</v>
      </c>
      <c r="I154">
        <v>286.68</v>
      </c>
    </row>
    <row r="155" spans="1:9">
      <c r="A155" t="s">
        <v>73</v>
      </c>
      <c r="B155" t="s">
        <v>59</v>
      </c>
      <c r="C155" t="s">
        <v>24</v>
      </c>
      <c r="D155" t="s">
        <v>15</v>
      </c>
      <c r="E155">
        <v>1171.18</v>
      </c>
      <c r="F155">
        <v>19</v>
      </c>
      <c r="G155">
        <v>0.05</v>
      </c>
      <c r="H155" s="8">
        <v>45667</v>
      </c>
      <c r="I155">
        <v>556.30999999999995</v>
      </c>
    </row>
    <row r="156" spans="1:9">
      <c r="A156" t="s">
        <v>58</v>
      </c>
      <c r="B156" t="s">
        <v>14</v>
      </c>
      <c r="C156" t="s">
        <v>20</v>
      </c>
      <c r="D156" t="s">
        <v>27</v>
      </c>
      <c r="E156">
        <v>1054.56</v>
      </c>
      <c r="F156">
        <v>11</v>
      </c>
      <c r="G156">
        <v>0.1</v>
      </c>
      <c r="H156" s="8">
        <v>45669</v>
      </c>
      <c r="I156">
        <v>332.19</v>
      </c>
    </row>
    <row r="157" spans="1:9">
      <c r="A157" t="s">
        <v>58</v>
      </c>
      <c r="B157" t="s">
        <v>23</v>
      </c>
      <c r="C157" t="s">
        <v>24</v>
      </c>
      <c r="D157" t="s">
        <v>21</v>
      </c>
      <c r="E157">
        <v>1681.21</v>
      </c>
      <c r="F157">
        <v>5</v>
      </c>
      <c r="G157">
        <v>0.2</v>
      </c>
      <c r="H157" s="8">
        <v>45670</v>
      </c>
      <c r="I157">
        <v>336.24</v>
      </c>
    </row>
    <row r="158" spans="1:9">
      <c r="A158" t="s">
        <v>58</v>
      </c>
      <c r="B158" t="s">
        <v>36</v>
      </c>
      <c r="C158" t="s">
        <v>11</v>
      </c>
      <c r="D158" t="s">
        <v>15</v>
      </c>
      <c r="E158">
        <v>379.77</v>
      </c>
      <c r="F158">
        <v>9</v>
      </c>
      <c r="G158">
        <v>0.05</v>
      </c>
      <c r="H158" s="8">
        <v>45673</v>
      </c>
      <c r="I158">
        <v>180.39</v>
      </c>
    </row>
    <row r="159" spans="1:9">
      <c r="A159" t="s">
        <v>44</v>
      </c>
      <c r="B159" t="s">
        <v>45</v>
      </c>
      <c r="C159" t="s">
        <v>34</v>
      </c>
      <c r="D159" t="s">
        <v>15</v>
      </c>
      <c r="E159">
        <v>1076.33</v>
      </c>
      <c r="F159">
        <v>2</v>
      </c>
      <c r="G159">
        <v>0.1</v>
      </c>
      <c r="H159" s="8">
        <v>45674</v>
      </c>
      <c r="I159">
        <v>484.35</v>
      </c>
    </row>
    <row r="160" spans="1:9">
      <c r="A160" t="s">
        <v>44</v>
      </c>
      <c r="B160" t="s">
        <v>31</v>
      </c>
      <c r="C160" t="s">
        <v>34</v>
      </c>
      <c r="D160" t="s">
        <v>39</v>
      </c>
      <c r="E160">
        <v>1250.71</v>
      </c>
      <c r="F160">
        <v>7</v>
      </c>
      <c r="G160">
        <v>0</v>
      </c>
      <c r="H160" s="8">
        <v>45674</v>
      </c>
      <c r="I160">
        <v>562.82000000000005</v>
      </c>
    </row>
    <row r="161" spans="1:9">
      <c r="A161" t="s">
        <v>40</v>
      </c>
      <c r="B161" t="s">
        <v>17</v>
      </c>
      <c r="C161" t="s">
        <v>20</v>
      </c>
      <c r="D161" t="s">
        <v>15</v>
      </c>
      <c r="E161">
        <v>1118.3399999999999</v>
      </c>
      <c r="F161">
        <v>6</v>
      </c>
      <c r="G161">
        <v>0.2</v>
      </c>
      <c r="H161" s="8">
        <v>45674</v>
      </c>
      <c r="I161">
        <v>447.34</v>
      </c>
    </row>
    <row r="162" spans="1:9">
      <c r="A162" t="s">
        <v>70</v>
      </c>
      <c r="B162" t="s">
        <v>53</v>
      </c>
      <c r="C162" t="s">
        <v>24</v>
      </c>
      <c r="D162" t="s">
        <v>15</v>
      </c>
      <c r="E162">
        <v>1622.62</v>
      </c>
      <c r="F162">
        <v>12</v>
      </c>
      <c r="G162">
        <v>0.2</v>
      </c>
      <c r="H162" s="8">
        <v>45677</v>
      </c>
      <c r="I162">
        <v>649.04999999999995</v>
      </c>
    </row>
    <row r="163" spans="1:9">
      <c r="A163" t="s">
        <v>75</v>
      </c>
      <c r="B163" t="s">
        <v>48</v>
      </c>
      <c r="C163" t="s">
        <v>24</v>
      </c>
      <c r="D163" t="s">
        <v>12</v>
      </c>
      <c r="E163">
        <v>640.64</v>
      </c>
      <c r="F163">
        <v>11</v>
      </c>
      <c r="G163">
        <v>0.2</v>
      </c>
      <c r="H163" s="8">
        <v>45678</v>
      </c>
      <c r="I163">
        <v>205</v>
      </c>
    </row>
    <row r="164" spans="1:9">
      <c r="A164" t="s">
        <v>22</v>
      </c>
      <c r="B164" t="s">
        <v>43</v>
      </c>
      <c r="C164" t="s">
        <v>11</v>
      </c>
      <c r="D164" t="s">
        <v>15</v>
      </c>
      <c r="E164">
        <v>585.16</v>
      </c>
      <c r="F164">
        <v>17</v>
      </c>
      <c r="G164">
        <v>0.1</v>
      </c>
      <c r="H164" s="8">
        <v>45684</v>
      </c>
      <c r="I164">
        <v>263.32</v>
      </c>
    </row>
    <row r="165" spans="1:9">
      <c r="A165" t="s">
        <v>22</v>
      </c>
      <c r="B165" t="s">
        <v>31</v>
      </c>
      <c r="C165" t="s">
        <v>18</v>
      </c>
      <c r="D165" t="s">
        <v>15</v>
      </c>
      <c r="E165">
        <v>1109.98</v>
      </c>
      <c r="F165">
        <v>5</v>
      </c>
      <c r="G165">
        <v>0.2</v>
      </c>
      <c r="H165" s="8">
        <v>45690</v>
      </c>
      <c r="I165">
        <v>443.99</v>
      </c>
    </row>
    <row r="166" spans="1:9">
      <c r="A166" t="s">
        <v>58</v>
      </c>
      <c r="B166" t="s">
        <v>45</v>
      </c>
      <c r="C166" t="s">
        <v>18</v>
      </c>
      <c r="D166" t="s">
        <v>12</v>
      </c>
      <c r="E166">
        <v>1098.08</v>
      </c>
      <c r="F166">
        <v>9</v>
      </c>
      <c r="G166">
        <v>0.1</v>
      </c>
      <c r="H166" s="8">
        <v>45692</v>
      </c>
      <c r="I166">
        <v>395.31</v>
      </c>
    </row>
    <row r="167" spans="1:9">
      <c r="A167" t="s">
        <v>65</v>
      </c>
      <c r="B167" t="s">
        <v>48</v>
      </c>
      <c r="C167" t="s">
        <v>11</v>
      </c>
      <c r="D167" t="s">
        <v>39</v>
      </c>
      <c r="E167">
        <v>827.25</v>
      </c>
      <c r="F167">
        <v>7</v>
      </c>
      <c r="G167">
        <v>0.1</v>
      </c>
      <c r="H167" s="8">
        <v>45693</v>
      </c>
      <c r="I167">
        <v>335.04</v>
      </c>
    </row>
    <row r="168" spans="1:9">
      <c r="A168" t="s">
        <v>70</v>
      </c>
      <c r="B168" t="s">
        <v>29</v>
      </c>
      <c r="C168" t="s">
        <v>34</v>
      </c>
      <c r="D168" t="s">
        <v>15</v>
      </c>
      <c r="E168">
        <v>741.88</v>
      </c>
      <c r="F168">
        <v>16</v>
      </c>
      <c r="G168">
        <v>0.1</v>
      </c>
      <c r="H168" s="8">
        <v>45695</v>
      </c>
      <c r="I168">
        <v>333.85</v>
      </c>
    </row>
    <row r="169" spans="1:9">
      <c r="A169" t="s">
        <v>72</v>
      </c>
      <c r="B169" t="s">
        <v>10</v>
      </c>
      <c r="C169" t="s">
        <v>18</v>
      </c>
      <c r="D169" t="s">
        <v>39</v>
      </c>
      <c r="E169">
        <v>1311.26</v>
      </c>
      <c r="F169">
        <v>6</v>
      </c>
      <c r="G169">
        <v>0.1</v>
      </c>
      <c r="H169" s="8">
        <v>45698</v>
      </c>
      <c r="I169">
        <v>531.05999999999995</v>
      </c>
    </row>
    <row r="170" spans="1:9">
      <c r="A170" t="s">
        <v>72</v>
      </c>
      <c r="B170" t="s">
        <v>31</v>
      </c>
      <c r="C170" t="s">
        <v>20</v>
      </c>
      <c r="D170" t="s">
        <v>39</v>
      </c>
      <c r="E170">
        <v>573.32000000000005</v>
      </c>
      <c r="F170">
        <v>19</v>
      </c>
      <c r="G170">
        <v>0.1</v>
      </c>
      <c r="H170" s="8">
        <v>45703</v>
      </c>
      <c r="I170">
        <v>232.19</v>
      </c>
    </row>
    <row r="171" spans="1:9">
      <c r="A171" t="s">
        <v>52</v>
      </c>
      <c r="B171" t="s">
        <v>23</v>
      </c>
      <c r="C171" t="s">
        <v>11</v>
      </c>
      <c r="D171" t="s">
        <v>21</v>
      </c>
      <c r="E171">
        <v>1115.22</v>
      </c>
      <c r="F171">
        <v>14</v>
      </c>
      <c r="G171">
        <v>0.2</v>
      </c>
      <c r="H171" s="8">
        <v>45705</v>
      </c>
      <c r="I171">
        <v>223.04</v>
      </c>
    </row>
    <row r="172" spans="1:9">
      <c r="A172" t="s">
        <v>13</v>
      </c>
      <c r="B172" t="s">
        <v>45</v>
      </c>
      <c r="C172" t="s">
        <v>24</v>
      </c>
      <c r="D172" t="s">
        <v>15</v>
      </c>
      <c r="E172">
        <v>845.84</v>
      </c>
      <c r="F172">
        <v>4</v>
      </c>
      <c r="G172">
        <v>0</v>
      </c>
      <c r="H172" s="8">
        <v>45707</v>
      </c>
      <c r="I172">
        <v>422.92</v>
      </c>
    </row>
    <row r="173" spans="1:9">
      <c r="A173" t="s">
        <v>30</v>
      </c>
      <c r="B173" t="s">
        <v>55</v>
      </c>
      <c r="C173" t="s">
        <v>11</v>
      </c>
      <c r="D173" t="s">
        <v>21</v>
      </c>
      <c r="E173">
        <v>1029.8</v>
      </c>
      <c r="F173">
        <v>3</v>
      </c>
      <c r="G173">
        <v>0</v>
      </c>
      <c r="H173" s="8">
        <v>45708</v>
      </c>
      <c r="I173">
        <v>257.45</v>
      </c>
    </row>
    <row r="174" spans="1:9">
      <c r="A174" t="s">
        <v>32</v>
      </c>
      <c r="B174" t="s">
        <v>31</v>
      </c>
      <c r="C174" t="s">
        <v>24</v>
      </c>
      <c r="D174" t="s">
        <v>12</v>
      </c>
      <c r="E174">
        <v>1189.83</v>
      </c>
      <c r="F174">
        <v>2</v>
      </c>
      <c r="G174">
        <v>0.2</v>
      </c>
      <c r="H174" s="8">
        <v>45709</v>
      </c>
      <c r="I174">
        <v>380.75</v>
      </c>
    </row>
    <row r="175" spans="1:9">
      <c r="A175" t="s">
        <v>67</v>
      </c>
      <c r="B175" t="s">
        <v>43</v>
      </c>
      <c r="C175" t="s">
        <v>20</v>
      </c>
      <c r="D175" t="s">
        <v>12</v>
      </c>
      <c r="E175">
        <v>704.28</v>
      </c>
      <c r="F175">
        <v>15</v>
      </c>
      <c r="G175">
        <v>0.2</v>
      </c>
      <c r="H175" s="8">
        <v>45712</v>
      </c>
      <c r="I175">
        <v>225.37</v>
      </c>
    </row>
    <row r="176" spans="1:9">
      <c r="A176" t="s">
        <v>65</v>
      </c>
      <c r="B176" t="s">
        <v>47</v>
      </c>
      <c r="C176" t="s">
        <v>34</v>
      </c>
      <c r="D176" t="s">
        <v>39</v>
      </c>
      <c r="E176">
        <v>1618.22</v>
      </c>
      <c r="F176">
        <v>12</v>
      </c>
      <c r="G176">
        <v>0.2</v>
      </c>
      <c r="H176" s="8">
        <v>45712</v>
      </c>
      <c r="I176">
        <v>582.55999999999995</v>
      </c>
    </row>
    <row r="177" spans="1:9">
      <c r="A177" t="s">
        <v>73</v>
      </c>
      <c r="B177" t="s">
        <v>53</v>
      </c>
      <c r="C177" t="s">
        <v>34</v>
      </c>
      <c r="D177" t="s">
        <v>12</v>
      </c>
      <c r="E177">
        <v>1014.43</v>
      </c>
      <c r="F177">
        <v>2</v>
      </c>
      <c r="G177">
        <v>0.15</v>
      </c>
      <c r="H177" s="8">
        <v>45713</v>
      </c>
      <c r="I177">
        <v>344.91</v>
      </c>
    </row>
    <row r="178" spans="1:9">
      <c r="A178" t="s">
        <v>75</v>
      </c>
      <c r="B178" t="s">
        <v>31</v>
      </c>
      <c r="C178" t="s">
        <v>34</v>
      </c>
      <c r="D178" t="s">
        <v>15</v>
      </c>
      <c r="E178">
        <v>826.97</v>
      </c>
      <c r="F178">
        <v>18</v>
      </c>
      <c r="G178">
        <v>0.2</v>
      </c>
      <c r="H178" s="8">
        <v>45715</v>
      </c>
      <c r="I178">
        <v>330.79</v>
      </c>
    </row>
    <row r="179" spans="1:9">
      <c r="A179" t="s">
        <v>16</v>
      </c>
      <c r="B179" t="s">
        <v>31</v>
      </c>
      <c r="C179" t="s">
        <v>34</v>
      </c>
      <c r="D179" t="s">
        <v>15</v>
      </c>
      <c r="E179">
        <v>1022.23</v>
      </c>
      <c r="F179">
        <v>8</v>
      </c>
      <c r="G179">
        <v>0.1</v>
      </c>
      <c r="H179" s="8">
        <v>45717</v>
      </c>
      <c r="I179">
        <v>460</v>
      </c>
    </row>
    <row r="180" spans="1:9">
      <c r="A180" t="s">
        <v>72</v>
      </c>
      <c r="B180" t="s">
        <v>29</v>
      </c>
      <c r="C180" t="s">
        <v>18</v>
      </c>
      <c r="D180" t="s">
        <v>12</v>
      </c>
      <c r="E180">
        <v>1099.69</v>
      </c>
      <c r="F180">
        <v>6</v>
      </c>
      <c r="G180">
        <v>0</v>
      </c>
      <c r="H180" s="8">
        <v>45718</v>
      </c>
      <c r="I180">
        <v>439.88</v>
      </c>
    </row>
    <row r="181" spans="1:9">
      <c r="A181" t="s">
        <v>52</v>
      </c>
      <c r="B181" t="s">
        <v>64</v>
      </c>
      <c r="C181" t="s">
        <v>24</v>
      </c>
      <c r="D181" t="s">
        <v>12</v>
      </c>
      <c r="E181">
        <v>710.52</v>
      </c>
      <c r="F181">
        <v>8</v>
      </c>
      <c r="G181">
        <v>0.1</v>
      </c>
      <c r="H181" s="8">
        <v>45721</v>
      </c>
      <c r="I181">
        <v>255.79</v>
      </c>
    </row>
    <row r="182" spans="1:9">
      <c r="A182" t="s">
        <v>52</v>
      </c>
      <c r="B182" t="s">
        <v>59</v>
      </c>
      <c r="C182" t="s">
        <v>24</v>
      </c>
      <c r="D182" t="s">
        <v>12</v>
      </c>
      <c r="E182">
        <v>499.18</v>
      </c>
      <c r="F182">
        <v>15</v>
      </c>
      <c r="G182">
        <v>0.2</v>
      </c>
      <c r="H182" s="8">
        <v>45724</v>
      </c>
      <c r="I182">
        <v>159.74</v>
      </c>
    </row>
    <row r="183" spans="1:9">
      <c r="A183" t="s">
        <v>37</v>
      </c>
      <c r="B183" t="s">
        <v>38</v>
      </c>
      <c r="C183" t="s">
        <v>20</v>
      </c>
      <c r="D183" t="s">
        <v>12</v>
      </c>
      <c r="E183">
        <v>1064.19</v>
      </c>
      <c r="F183">
        <v>18</v>
      </c>
      <c r="G183">
        <v>0.05</v>
      </c>
      <c r="H183" s="8">
        <v>45725</v>
      </c>
      <c r="I183">
        <v>404.39</v>
      </c>
    </row>
    <row r="184" spans="1:9">
      <c r="A184" t="s">
        <v>67</v>
      </c>
      <c r="B184" t="s">
        <v>38</v>
      </c>
      <c r="C184" t="s">
        <v>18</v>
      </c>
      <c r="D184" t="s">
        <v>39</v>
      </c>
      <c r="E184">
        <v>438.76</v>
      </c>
      <c r="F184">
        <v>18</v>
      </c>
      <c r="G184">
        <v>0.05</v>
      </c>
      <c r="H184" s="8">
        <v>45726</v>
      </c>
      <c r="I184">
        <v>187.57</v>
      </c>
    </row>
    <row r="185" spans="1:9">
      <c r="A185" t="s">
        <v>41</v>
      </c>
      <c r="B185" t="s">
        <v>55</v>
      </c>
      <c r="C185" t="s">
        <v>11</v>
      </c>
      <c r="D185" t="s">
        <v>15</v>
      </c>
      <c r="E185">
        <v>864.98</v>
      </c>
      <c r="F185">
        <v>2</v>
      </c>
      <c r="G185">
        <v>0.05</v>
      </c>
      <c r="H185" s="8">
        <v>45727</v>
      </c>
      <c r="I185">
        <v>410.87</v>
      </c>
    </row>
    <row r="186" spans="1:9">
      <c r="A186" t="s">
        <v>57</v>
      </c>
      <c r="B186" t="s">
        <v>55</v>
      </c>
      <c r="C186" t="s">
        <v>11</v>
      </c>
      <c r="D186" t="s">
        <v>27</v>
      </c>
      <c r="E186">
        <v>984.93</v>
      </c>
      <c r="F186">
        <v>14</v>
      </c>
      <c r="G186">
        <v>0.2</v>
      </c>
      <c r="H186" s="8">
        <v>45733</v>
      </c>
      <c r="I186">
        <v>275.77999999999997</v>
      </c>
    </row>
    <row r="187" spans="1:9">
      <c r="A187" t="s">
        <v>25</v>
      </c>
      <c r="B187" t="s">
        <v>55</v>
      </c>
      <c r="C187" t="s">
        <v>11</v>
      </c>
      <c r="D187" t="s">
        <v>15</v>
      </c>
      <c r="E187">
        <v>1493.49</v>
      </c>
      <c r="F187">
        <v>18</v>
      </c>
      <c r="G187">
        <v>0</v>
      </c>
      <c r="H187" s="8">
        <v>45734</v>
      </c>
      <c r="I187">
        <v>746.74</v>
      </c>
    </row>
    <row r="188" spans="1:9">
      <c r="A188" t="s">
        <v>32</v>
      </c>
      <c r="B188" t="s">
        <v>53</v>
      </c>
      <c r="C188" t="s">
        <v>20</v>
      </c>
      <c r="D188" t="s">
        <v>15</v>
      </c>
      <c r="E188">
        <v>689.43</v>
      </c>
      <c r="F188">
        <v>9</v>
      </c>
      <c r="G188">
        <v>0.1</v>
      </c>
      <c r="H188" s="8">
        <v>45736</v>
      </c>
      <c r="I188">
        <v>310.24</v>
      </c>
    </row>
    <row r="189" spans="1:9">
      <c r="A189" t="s">
        <v>40</v>
      </c>
      <c r="B189" t="s">
        <v>59</v>
      </c>
      <c r="C189" t="s">
        <v>20</v>
      </c>
      <c r="D189" t="s">
        <v>15</v>
      </c>
      <c r="E189">
        <v>682.24</v>
      </c>
      <c r="F189">
        <v>1</v>
      </c>
      <c r="G189">
        <v>0</v>
      </c>
      <c r="H189" s="8">
        <v>45738</v>
      </c>
      <c r="I189">
        <v>341.12</v>
      </c>
    </row>
    <row r="190" spans="1:9">
      <c r="A190" t="s">
        <v>41</v>
      </c>
      <c r="B190" t="s">
        <v>26</v>
      </c>
      <c r="C190" t="s">
        <v>24</v>
      </c>
      <c r="D190" t="s">
        <v>21</v>
      </c>
      <c r="E190">
        <v>458.54</v>
      </c>
      <c r="F190">
        <v>15</v>
      </c>
      <c r="G190">
        <v>0.2</v>
      </c>
      <c r="H190" s="8">
        <v>45741</v>
      </c>
      <c r="I190">
        <v>91.71</v>
      </c>
    </row>
    <row r="191" spans="1:9">
      <c r="A191" t="s">
        <v>32</v>
      </c>
      <c r="B191" t="s">
        <v>26</v>
      </c>
      <c r="C191" t="s">
        <v>20</v>
      </c>
      <c r="D191" t="s">
        <v>27</v>
      </c>
      <c r="E191">
        <v>1184.25</v>
      </c>
      <c r="F191">
        <v>11</v>
      </c>
      <c r="G191">
        <v>0.2</v>
      </c>
      <c r="H191" s="8">
        <v>45742</v>
      </c>
      <c r="I191">
        <v>331.59</v>
      </c>
    </row>
    <row r="192" spans="1:9">
      <c r="A192" t="s">
        <v>25</v>
      </c>
      <c r="B192" t="s">
        <v>10</v>
      </c>
      <c r="C192" t="s">
        <v>20</v>
      </c>
      <c r="D192" t="s">
        <v>15</v>
      </c>
      <c r="E192">
        <v>762.14</v>
      </c>
      <c r="F192">
        <v>9</v>
      </c>
      <c r="G192">
        <v>0</v>
      </c>
      <c r="H192" s="8">
        <v>45743</v>
      </c>
      <c r="I192">
        <v>381.07</v>
      </c>
    </row>
    <row r="193" spans="1:9">
      <c r="A193" t="s">
        <v>22</v>
      </c>
      <c r="B193" t="s">
        <v>53</v>
      </c>
      <c r="C193" t="s">
        <v>24</v>
      </c>
      <c r="D193" t="s">
        <v>12</v>
      </c>
      <c r="E193">
        <v>750.71</v>
      </c>
      <c r="F193">
        <v>10</v>
      </c>
      <c r="G193">
        <v>0.15</v>
      </c>
      <c r="H193" s="8">
        <v>45743</v>
      </c>
      <c r="I193">
        <v>255.24</v>
      </c>
    </row>
    <row r="194" spans="1:9">
      <c r="A194" t="s">
        <v>75</v>
      </c>
      <c r="B194" t="s">
        <v>71</v>
      </c>
      <c r="C194" t="s">
        <v>34</v>
      </c>
      <c r="D194" t="s">
        <v>15</v>
      </c>
      <c r="E194">
        <v>1456.94</v>
      </c>
      <c r="F194">
        <v>14</v>
      </c>
      <c r="G194">
        <v>0.05</v>
      </c>
      <c r="H194" s="8">
        <v>45745</v>
      </c>
      <c r="I194">
        <v>692.05</v>
      </c>
    </row>
    <row r="195" spans="1:9">
      <c r="A195" t="s">
        <v>44</v>
      </c>
      <c r="B195" t="s">
        <v>61</v>
      </c>
      <c r="C195" t="s">
        <v>18</v>
      </c>
      <c r="D195" t="s">
        <v>27</v>
      </c>
      <c r="E195">
        <v>1093.3800000000001</v>
      </c>
      <c r="F195">
        <v>17</v>
      </c>
      <c r="G195">
        <v>0.1</v>
      </c>
      <c r="H195" s="8">
        <v>45745</v>
      </c>
      <c r="I195">
        <v>344.41</v>
      </c>
    </row>
    <row r="196" spans="1:9">
      <c r="A196" t="s">
        <v>37</v>
      </c>
      <c r="B196" t="s">
        <v>43</v>
      </c>
      <c r="C196" t="s">
        <v>11</v>
      </c>
      <c r="D196" t="s">
        <v>15</v>
      </c>
      <c r="E196">
        <v>934.27</v>
      </c>
      <c r="F196">
        <v>8</v>
      </c>
      <c r="G196">
        <v>0.15</v>
      </c>
      <c r="H196" s="8">
        <v>45746</v>
      </c>
      <c r="I196">
        <v>397.06</v>
      </c>
    </row>
    <row r="197" spans="1:9">
      <c r="A197" t="s">
        <v>70</v>
      </c>
      <c r="B197" t="s">
        <v>36</v>
      </c>
      <c r="C197" t="s">
        <v>34</v>
      </c>
      <c r="D197" t="s">
        <v>15</v>
      </c>
      <c r="E197">
        <v>1465.35</v>
      </c>
      <c r="F197">
        <v>8</v>
      </c>
      <c r="G197">
        <v>0.2</v>
      </c>
      <c r="H197" s="8">
        <v>45746</v>
      </c>
      <c r="I197">
        <v>586.14</v>
      </c>
    </row>
    <row r="198" spans="1:9">
      <c r="A198" t="s">
        <v>52</v>
      </c>
      <c r="B198" t="s">
        <v>14</v>
      </c>
      <c r="C198" t="s">
        <v>20</v>
      </c>
      <c r="D198" t="s">
        <v>39</v>
      </c>
      <c r="E198">
        <v>740.8</v>
      </c>
      <c r="F198">
        <v>3</v>
      </c>
      <c r="G198">
        <v>0</v>
      </c>
      <c r="H198" s="8">
        <v>45749</v>
      </c>
      <c r="I198">
        <v>333.36</v>
      </c>
    </row>
    <row r="199" spans="1:9">
      <c r="A199" t="s">
        <v>58</v>
      </c>
      <c r="B199" t="s">
        <v>43</v>
      </c>
      <c r="C199" t="s">
        <v>11</v>
      </c>
      <c r="D199" t="s">
        <v>39</v>
      </c>
      <c r="E199">
        <v>545.44000000000005</v>
      </c>
      <c r="F199">
        <v>17</v>
      </c>
      <c r="G199">
        <v>0</v>
      </c>
      <c r="H199" s="8">
        <v>45752</v>
      </c>
      <c r="I199">
        <v>245.45</v>
      </c>
    </row>
    <row r="200" spans="1:9">
      <c r="A200" t="s">
        <v>35</v>
      </c>
      <c r="B200" t="s">
        <v>36</v>
      </c>
      <c r="C200" t="s">
        <v>18</v>
      </c>
      <c r="D200" t="s">
        <v>12</v>
      </c>
      <c r="E200">
        <v>997.61</v>
      </c>
      <c r="F200">
        <v>8</v>
      </c>
      <c r="G200">
        <v>0.05</v>
      </c>
      <c r="H200" s="8">
        <v>45752</v>
      </c>
      <c r="I200">
        <v>379.09</v>
      </c>
    </row>
    <row r="201" spans="1:9">
      <c r="A201" t="s">
        <v>60</v>
      </c>
      <c r="B201" t="s">
        <v>36</v>
      </c>
      <c r="C201" t="s">
        <v>20</v>
      </c>
      <c r="D201" t="s">
        <v>15</v>
      </c>
      <c r="E201">
        <v>928.32</v>
      </c>
      <c r="F201">
        <v>2</v>
      </c>
      <c r="G201">
        <v>0.05</v>
      </c>
      <c r="H201" s="8">
        <v>45754</v>
      </c>
      <c r="I201">
        <v>440.95</v>
      </c>
    </row>
  </sheetData>
  <autoFilter ref="A1:I201" xr:uid="{554D670E-3E31-4446-955D-B887C1F0FFF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46F0-B530-46FF-A867-60ED0A3A3C28}">
  <dimension ref="A1:R34"/>
  <sheetViews>
    <sheetView zoomScale="81" workbookViewId="0">
      <selection activeCell="T28" sqref="T28"/>
    </sheetView>
  </sheetViews>
  <sheetFormatPr defaultRowHeight="14.4"/>
  <cols>
    <col min="1" max="1" width="17.44140625" bestFit="1" customWidth="1"/>
    <col min="2" max="3" width="11.6640625" bestFit="1" customWidth="1"/>
    <col min="5" max="5" width="13.77734375" bestFit="1" customWidth="1"/>
    <col min="6" max="6" width="11.6640625" bestFit="1" customWidth="1"/>
    <col min="12" max="12" width="7.21875" customWidth="1"/>
    <col min="13" max="13" width="13.77734375" bestFit="1" customWidth="1"/>
    <col min="14" max="14" width="11.6640625" bestFit="1" customWidth="1"/>
  </cols>
  <sheetData>
    <row r="1" spans="1:18">
      <c r="A1" s="39" t="s">
        <v>140</v>
      </c>
      <c r="B1" s="39"/>
      <c r="C1" s="39"/>
      <c r="E1" s="39" t="s">
        <v>141</v>
      </c>
      <c r="F1" s="39"/>
      <c r="G1" s="39"/>
      <c r="H1" s="39"/>
      <c r="I1" s="39"/>
      <c r="P1" s="40" t="s">
        <v>142</v>
      </c>
      <c r="Q1" s="40"/>
      <c r="R1" s="40"/>
    </row>
    <row r="2" spans="1:18">
      <c r="A2" s="39"/>
      <c r="B2" s="39"/>
      <c r="C2" s="39"/>
      <c r="E2" s="39"/>
      <c r="F2" s="39"/>
      <c r="G2" s="39"/>
      <c r="H2" s="39"/>
      <c r="I2" s="39"/>
      <c r="M2" s="13" t="s">
        <v>118</v>
      </c>
      <c r="N2" t="s">
        <v>122</v>
      </c>
    </row>
    <row r="3" spans="1:18">
      <c r="A3" s="13" t="s">
        <v>118</v>
      </c>
      <c r="B3" t="s">
        <v>122</v>
      </c>
      <c r="F3" s="40" t="s">
        <v>143</v>
      </c>
      <c r="G3" s="40"/>
      <c r="H3" s="40"/>
      <c r="M3" s="14" t="s">
        <v>133</v>
      </c>
      <c r="N3">
        <v>14914.650000000001</v>
      </c>
    </row>
    <row r="4" spans="1:18">
      <c r="A4" s="14" t="s">
        <v>34</v>
      </c>
      <c r="B4">
        <v>43468.33</v>
      </c>
      <c r="M4" s="14" t="s">
        <v>134</v>
      </c>
      <c r="N4">
        <v>14006.359999999999</v>
      </c>
    </row>
    <row r="5" spans="1:18">
      <c r="A5" s="15" t="s">
        <v>12</v>
      </c>
      <c r="B5">
        <v>11297.150000000001</v>
      </c>
      <c r="M5" s="14" t="s">
        <v>135</v>
      </c>
      <c r="N5">
        <v>17655.219999999998</v>
      </c>
    </row>
    <row r="6" spans="1:18">
      <c r="A6" s="15" t="s">
        <v>15</v>
      </c>
      <c r="B6">
        <v>12200.26</v>
      </c>
      <c r="M6" s="14" t="s">
        <v>124</v>
      </c>
      <c r="N6">
        <v>22242.129999999997</v>
      </c>
    </row>
    <row r="7" spans="1:18">
      <c r="A7" s="15" t="s">
        <v>21</v>
      </c>
      <c r="B7">
        <v>6621.24</v>
      </c>
      <c r="M7" s="14" t="s">
        <v>125</v>
      </c>
      <c r="N7">
        <v>18507.339999999997</v>
      </c>
    </row>
    <row r="8" spans="1:18">
      <c r="A8" s="15" t="s">
        <v>27</v>
      </c>
      <c r="B8">
        <v>4876.96</v>
      </c>
      <c r="M8" s="14" t="s">
        <v>126</v>
      </c>
      <c r="N8">
        <v>20187.509999999998</v>
      </c>
    </row>
    <row r="9" spans="1:18">
      <c r="A9" s="15" t="s">
        <v>39</v>
      </c>
      <c r="B9">
        <v>8472.7199999999993</v>
      </c>
      <c r="M9" s="14" t="s">
        <v>127</v>
      </c>
      <c r="N9">
        <v>11609.039999999999</v>
      </c>
    </row>
    <row r="10" spans="1:18">
      <c r="A10" s="14" t="s">
        <v>18</v>
      </c>
      <c r="B10">
        <v>32441.640000000003</v>
      </c>
      <c r="M10" s="14" t="s">
        <v>128</v>
      </c>
      <c r="N10">
        <v>10091.699999999999</v>
      </c>
    </row>
    <row r="11" spans="1:18">
      <c r="A11" s="15" t="s">
        <v>12</v>
      </c>
      <c r="B11">
        <v>11389.090000000002</v>
      </c>
      <c r="M11" s="14" t="s">
        <v>129</v>
      </c>
      <c r="N11">
        <v>20533.499999999996</v>
      </c>
    </row>
    <row r="12" spans="1:18">
      <c r="A12" s="15" t="s">
        <v>15</v>
      </c>
      <c r="B12">
        <v>2401.4499999999998</v>
      </c>
      <c r="M12" s="14" t="s">
        <v>130</v>
      </c>
      <c r="N12">
        <v>14215.240000000002</v>
      </c>
    </row>
    <row r="13" spans="1:18">
      <c r="A13" s="15" t="s">
        <v>21</v>
      </c>
      <c r="B13">
        <v>2869.54</v>
      </c>
      <c r="M13" s="14" t="s">
        <v>131</v>
      </c>
      <c r="N13">
        <v>20135.030000000002</v>
      </c>
    </row>
    <row r="14" spans="1:18">
      <c r="A14" s="15" t="s">
        <v>27</v>
      </c>
      <c r="B14">
        <v>7592.3399999999992</v>
      </c>
      <c r="M14" s="14" t="s">
        <v>132</v>
      </c>
      <c r="N14">
        <v>11120.04</v>
      </c>
    </row>
    <row r="15" spans="1:18">
      <c r="A15" s="15" t="s">
        <v>39</v>
      </c>
      <c r="B15">
        <v>8189.2200000000012</v>
      </c>
      <c r="M15" s="14" t="s">
        <v>119</v>
      </c>
      <c r="N15">
        <v>195217.75999999995</v>
      </c>
    </row>
    <row r="16" spans="1:18">
      <c r="A16" s="14" t="s">
        <v>24</v>
      </c>
      <c r="B16">
        <v>34975.420000000006</v>
      </c>
    </row>
    <row r="17" spans="1:12">
      <c r="A17" s="15" t="s">
        <v>12</v>
      </c>
      <c r="B17">
        <v>8037.0100000000011</v>
      </c>
    </row>
    <row r="18" spans="1:12">
      <c r="A18" s="15" t="s">
        <v>15</v>
      </c>
      <c r="B18">
        <v>8422.82</v>
      </c>
    </row>
    <row r="19" spans="1:12">
      <c r="A19" s="15" t="s">
        <v>21</v>
      </c>
      <c r="B19">
        <v>8191.7099999999991</v>
      </c>
    </row>
    <row r="20" spans="1:12">
      <c r="A20" s="15" t="s">
        <v>27</v>
      </c>
      <c r="B20">
        <v>6978.08</v>
      </c>
    </row>
    <row r="21" spans="1:12">
      <c r="A21" s="15" t="s">
        <v>39</v>
      </c>
      <c r="B21">
        <v>3345.8</v>
      </c>
    </row>
    <row r="22" spans="1:12">
      <c r="A22" s="14" t="s">
        <v>20</v>
      </c>
      <c r="B22">
        <v>40248.79</v>
      </c>
      <c r="E22" s="13" t="s">
        <v>118</v>
      </c>
      <c r="F22" t="s">
        <v>122</v>
      </c>
      <c r="J22" s="41" t="s">
        <v>144</v>
      </c>
      <c r="K22" s="41"/>
      <c r="L22" s="41"/>
    </row>
    <row r="23" spans="1:12">
      <c r="A23" s="15" t="s">
        <v>12</v>
      </c>
      <c r="B23">
        <v>9588.0400000000009</v>
      </c>
      <c r="E23" s="14" t="s">
        <v>34</v>
      </c>
      <c r="F23">
        <v>43468.33</v>
      </c>
    </row>
    <row r="24" spans="1:12">
      <c r="A24" s="15" t="s">
        <v>15</v>
      </c>
      <c r="B24">
        <v>8393.630000000001</v>
      </c>
      <c r="E24" s="14" t="s">
        <v>18</v>
      </c>
      <c r="F24">
        <v>32441.64</v>
      </c>
    </row>
    <row r="25" spans="1:12">
      <c r="A25" s="15" t="s">
        <v>21</v>
      </c>
      <c r="B25">
        <v>11989.070000000003</v>
      </c>
      <c r="E25" s="14" t="s">
        <v>24</v>
      </c>
      <c r="F25">
        <v>34975.42</v>
      </c>
    </row>
    <row r="26" spans="1:12">
      <c r="A26" s="15" t="s">
        <v>27</v>
      </c>
      <c r="B26">
        <v>7982.73</v>
      </c>
      <c r="E26" s="14" t="s">
        <v>20</v>
      </c>
      <c r="F26">
        <v>40248.79</v>
      </c>
    </row>
    <row r="27" spans="1:12">
      <c r="A27" s="15" t="s">
        <v>39</v>
      </c>
      <c r="B27">
        <v>2295.3199999999997</v>
      </c>
      <c r="E27" s="14" t="s">
        <v>11</v>
      </c>
      <c r="F27">
        <v>44083.58</v>
      </c>
    </row>
    <row r="28" spans="1:12">
      <c r="A28" s="14" t="s">
        <v>11</v>
      </c>
      <c r="B28">
        <v>44083.58</v>
      </c>
      <c r="E28" s="14" t="s">
        <v>119</v>
      </c>
      <c r="F28">
        <v>195217.76</v>
      </c>
    </row>
    <row r="29" spans="1:12">
      <c r="A29" s="15" t="s">
        <v>12</v>
      </c>
      <c r="B29">
        <v>6691.17</v>
      </c>
    </row>
    <row r="30" spans="1:12">
      <c r="A30" s="15" t="s">
        <v>15</v>
      </c>
      <c r="B30">
        <v>10509.429999999998</v>
      </c>
    </row>
    <row r="31" spans="1:12">
      <c r="A31" s="15" t="s">
        <v>21</v>
      </c>
      <c r="B31">
        <v>11372.44</v>
      </c>
    </row>
    <row r="32" spans="1:12">
      <c r="A32" s="15" t="s">
        <v>27</v>
      </c>
      <c r="B32">
        <v>9182.7800000000007</v>
      </c>
    </row>
    <row r="33" spans="1:2">
      <c r="A33" s="15" t="s">
        <v>39</v>
      </c>
      <c r="B33">
        <v>6327.76</v>
      </c>
    </row>
    <row r="34" spans="1:2">
      <c r="A34" s="14" t="s">
        <v>119</v>
      </c>
      <c r="B34">
        <v>195217.76000000004</v>
      </c>
    </row>
  </sheetData>
  <mergeCells count="5">
    <mergeCell ref="A1:C2"/>
    <mergeCell ref="E1:I2"/>
    <mergeCell ref="F3:H3"/>
    <mergeCell ref="P1:R1"/>
    <mergeCell ref="J22:L22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EABF-8601-4CCB-B545-018BC2884977}">
  <dimension ref="A1:I10"/>
  <sheetViews>
    <sheetView topLeftCell="A3" zoomScale="70" workbookViewId="0">
      <selection activeCell="M18" sqref="M18"/>
    </sheetView>
  </sheetViews>
  <sheetFormatPr defaultRowHeight="14.4"/>
  <cols>
    <col min="1" max="1" width="20.5546875" customWidth="1"/>
    <col min="2" max="2" width="15.44140625" customWidth="1"/>
    <col min="3" max="3" width="17.109375" customWidth="1"/>
  </cols>
  <sheetData>
    <row r="1" spans="1:9" ht="18">
      <c r="A1" s="42" t="s">
        <v>145</v>
      </c>
      <c r="B1" s="42"/>
      <c r="C1" s="42"/>
      <c r="D1" s="42"/>
      <c r="E1" s="42"/>
      <c r="F1" s="42"/>
      <c r="G1" s="42"/>
      <c r="H1" s="42"/>
      <c r="I1" s="42"/>
    </row>
    <row r="3" spans="1:9">
      <c r="A3" s="43" t="s">
        <v>158</v>
      </c>
      <c r="B3" s="43"/>
      <c r="C3" s="43"/>
      <c r="D3" s="43"/>
      <c r="E3" s="43"/>
    </row>
    <row r="4" spans="1:9" ht="28.8">
      <c r="A4" s="28" t="s">
        <v>146</v>
      </c>
      <c r="B4" s="28" t="s">
        <v>147</v>
      </c>
      <c r="C4" s="29" t="s">
        <v>148</v>
      </c>
    </row>
    <row r="5" spans="1:9" ht="43.2">
      <c r="A5" s="26" t="s">
        <v>149</v>
      </c>
      <c r="B5" s="26" t="s">
        <v>150</v>
      </c>
      <c r="C5" s="27" t="s">
        <v>159</v>
      </c>
    </row>
    <row r="6" spans="1:9" ht="28.8">
      <c r="A6" s="26" t="s">
        <v>151</v>
      </c>
      <c r="B6" s="26" t="s">
        <v>152</v>
      </c>
      <c r="C6" s="27" t="s">
        <v>160</v>
      </c>
    </row>
    <row r="7" spans="1:9" ht="42" customHeight="1">
      <c r="A7" s="26" t="s">
        <v>153</v>
      </c>
      <c r="B7" s="26" t="s">
        <v>154</v>
      </c>
      <c r="C7" s="27" t="s">
        <v>155</v>
      </c>
    </row>
    <row r="8" spans="1:9" ht="28.8">
      <c r="A8" s="26" t="s">
        <v>156</v>
      </c>
      <c r="B8" s="26" t="s">
        <v>157</v>
      </c>
      <c r="C8" s="27" t="s">
        <v>161</v>
      </c>
    </row>
    <row r="10" spans="1:9">
      <c r="A10" s="44" t="s">
        <v>162</v>
      </c>
      <c r="B10" s="44"/>
      <c r="C10" s="44"/>
      <c r="D10" s="44"/>
      <c r="E10" s="44"/>
    </row>
  </sheetData>
  <mergeCells count="3">
    <mergeCell ref="A1:I1"/>
    <mergeCell ref="A3:E3"/>
    <mergeCell ref="A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Tasks</vt:lpstr>
      <vt:lpstr>data analysis</vt:lpstr>
      <vt:lpstr>highvaluecus</vt:lpstr>
      <vt:lpstr>totalsales</vt:lpstr>
      <vt:lpstr>dashboard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Shah</dc:creator>
  <cp:lastModifiedBy>Margi Shah</cp:lastModifiedBy>
  <dcterms:created xsi:type="dcterms:W3CDTF">2026-10-22T07:39:00Z</dcterms:created>
  <dcterms:modified xsi:type="dcterms:W3CDTF">2026-10-23T02:55:25Z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0A47E938BA9F4A928998B38AAB3BB3D9_12</vt:lpwstr>
  </property>
</Properties>
</file>